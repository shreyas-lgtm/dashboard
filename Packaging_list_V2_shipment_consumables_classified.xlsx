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nsumables Classification" sheetId="1" state="visible" r:id="rId1"/>
    <sheet name="Summary" sheetId="2" state="visible" r:id="rId2"/>
    <sheet name="Consumables to procure" sheetId="3" state="visible" r:id="rId3"/>
    <sheet name="Flags" sheetId="4" state="visible" r:id="rId4"/>
    <sheet name="Hazmat watchlist" sheetId="5" state="visible" r:id="rId5"/>
    <sheet name="Sheet1" sheetId="6" state="visible" r:id="rId6"/>
  </sheets>
  <definedNames>
    <definedName name="_xlnm._FilterDatabase" localSheetId="0" hidden="1">'Consumables Classification'!$A$1:$N$508</definedName>
    <definedName name="_xlnm._FilterDatabase" localSheetId="2" hidden="1">'Consumables to procure'!$A$4:$I$89</definedName>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Calibri"/>
      <color theme="1"/>
      <sz val="11"/>
    </font>
    <font>
      <name val="Calibri"/>
      <color rgb="FF0000FF"/>
      <sz val="11"/>
      <u val="single"/>
    </font>
    <font>
      <name val="Calibri"/>
      <color rgb="FF0000FF"/>
      <sz val="11"/>
      <u val="single"/>
    </font>
    <font>
      <name val="Calibri"/>
      <color theme="1"/>
      <sz val="11"/>
      <u val="single"/>
    </font>
    <font>
      <name val="Arial"/>
      <sz val="10"/>
    </font>
    <font>
      <name val="Arial"/>
      <b val="1"/>
      <color rgb="00FFFFFF"/>
      <sz val="10"/>
    </font>
    <font>
      <name val="Arial"/>
      <b val="1"/>
      <sz val="14"/>
    </font>
    <font>
      <name val="Arial"/>
      <b val="1"/>
      <sz val="11"/>
    </font>
    <font>
      <name val="Arial"/>
      <b val="1"/>
      <sz val="10"/>
    </font>
    <font>
      <name val="Arial"/>
      <i val="1"/>
      <sz val="10"/>
    </font>
  </fonts>
  <fills count="10">
    <fill>
      <patternFill/>
    </fill>
    <fill>
      <patternFill patternType="lightGray"/>
    </fill>
    <fill>
      <patternFill patternType="solid">
        <fgColor rgb="FFFFE599"/>
        <bgColor rgb="FFFFE599"/>
      </patternFill>
    </fill>
    <fill>
      <patternFill patternType="solid">
        <fgColor rgb="FFFFF2CC"/>
        <bgColor rgb="FFFFF2CC"/>
      </patternFill>
    </fill>
    <fill>
      <patternFill patternType="solid">
        <fgColor rgb="FFFFF3CD"/>
        <bgColor rgb="FFFFF3CD"/>
      </patternFill>
    </fill>
    <fill>
      <patternFill patternType="solid">
        <fgColor rgb="FFFFFFFF"/>
        <bgColor rgb="FFFFFFFF"/>
      </patternFill>
    </fill>
    <fill>
      <patternFill patternType="solid">
        <fgColor rgb="002F5597"/>
      </patternFill>
    </fill>
    <fill>
      <patternFill patternType="solid">
        <fgColor rgb="00C6EFCE"/>
      </patternFill>
    </fill>
    <fill>
      <patternFill patternType="solid">
        <fgColor rgb="00F2F2F2"/>
      </patternFill>
    </fill>
    <fill>
      <patternFill patternType="solid">
        <fgColor rgb="00FFEB9C"/>
      </patternFill>
    </fill>
  </fills>
  <borders count="2">
    <border/>
    <border>
      <bottom style="thin">
        <color rgb="FFD9D9D9"/>
      </bottom>
    </border>
  </borders>
  <cellStyleXfs count="1">
    <xf numFmtId="0" fontId="5" fillId="0" borderId="0"/>
  </cellStyleXfs>
  <cellXfs count="32">
    <xf numFmtId="0" fontId="0" fillId="0" borderId="0" applyAlignment="1" pivotButton="0" quotePrefix="0" xfId="0">
      <alignment vertical="bottom"/>
    </xf>
    <xf numFmtId="0" fontId="1" fillId="0" borderId="1" applyAlignment="1" pivotButton="0" quotePrefix="0" xfId="0">
      <alignment vertical="top"/>
    </xf>
    <xf numFmtId="0" fontId="1" fillId="0" borderId="1" applyAlignment="1" pivotButton="0" quotePrefix="0" xfId="0">
      <alignment vertical="top" wrapText="1"/>
    </xf>
    <xf numFmtId="0" fontId="1" fillId="0" borderId="1" applyAlignment="1" pivotButton="0" quotePrefix="0" xfId="0">
      <alignment horizontal="right" vertical="top"/>
    </xf>
    <xf numFmtId="0" fontId="1" fillId="0" borderId="1" applyAlignment="1" pivotButton="0" quotePrefix="0" xfId="0">
      <alignment horizontal="center" vertical="top"/>
    </xf>
    <xf numFmtId="0" fontId="1" fillId="0" borderId="0" applyAlignment="1" pivotButton="0" quotePrefix="0" xfId="0">
      <alignment vertical="bottom"/>
    </xf>
    <xf numFmtId="0" fontId="2" fillId="0" borderId="0" applyAlignment="1" pivotButton="0" quotePrefix="0" xfId="0">
      <alignment vertical="bottom"/>
    </xf>
    <xf numFmtId="0" fontId="1" fillId="2" borderId="1" applyAlignment="1" pivotButton="0" quotePrefix="0" xfId="0">
      <alignment vertical="top"/>
    </xf>
    <xf numFmtId="0" fontId="1" fillId="3" borderId="1" applyAlignment="1" pivotButton="0" quotePrefix="0" xfId="0">
      <alignment vertical="top"/>
    </xf>
    <xf numFmtId="0" fontId="1" fillId="3" borderId="1" applyAlignment="1" pivotButton="0" quotePrefix="0" xfId="0">
      <alignment vertical="top" wrapText="1"/>
    </xf>
    <xf numFmtId="0" fontId="1" fillId="3" borderId="1" applyAlignment="1" pivotButton="0" quotePrefix="0" xfId="0">
      <alignment horizontal="right" vertical="top"/>
    </xf>
    <xf numFmtId="0" fontId="1" fillId="3" borderId="1" applyAlignment="1" pivotButton="0" quotePrefix="0" xfId="0">
      <alignment horizontal="center" vertical="top"/>
    </xf>
    <xf numFmtId="0" fontId="3" fillId="0" borderId="1" applyAlignment="1" pivotButton="0" quotePrefix="0" xfId="0">
      <alignment vertical="top"/>
    </xf>
    <xf numFmtId="0" fontId="1" fillId="4" borderId="1" applyAlignment="1" pivotButton="0" quotePrefix="0" xfId="0">
      <alignment vertical="top"/>
    </xf>
    <xf numFmtId="0" fontId="1" fillId="4" borderId="1" applyAlignment="1" pivotButton="0" quotePrefix="0" xfId="0">
      <alignment horizontal="right" vertical="top"/>
    </xf>
    <xf numFmtId="0" fontId="4" fillId="0" borderId="1" applyAlignment="1" pivotButton="0" quotePrefix="0" xfId="0">
      <alignment vertical="top"/>
    </xf>
    <xf numFmtId="0" fontId="1" fillId="0" borderId="0" applyAlignment="1" pivotButton="0" quotePrefix="0" xfId="0">
      <alignment horizontal="right" vertical="bottom"/>
    </xf>
    <xf numFmtId="0" fontId="1" fillId="5" borderId="1" applyAlignment="1" pivotButton="0" quotePrefix="0" xfId="0">
      <alignment vertical="top"/>
    </xf>
    <xf numFmtId="0" fontId="1" fillId="5" borderId="1" applyAlignment="1" pivotButton="0" quotePrefix="0" xfId="0">
      <alignment vertical="top" wrapText="1"/>
    </xf>
    <xf numFmtId="0" fontId="1" fillId="5" borderId="1" applyAlignment="1" pivotButton="0" quotePrefix="0" xfId="0">
      <alignment horizontal="right" vertical="top"/>
    </xf>
    <xf numFmtId="0" fontId="1" fillId="5" borderId="1" applyAlignment="1" pivotButton="0" quotePrefix="0" xfId="0">
      <alignment horizontal="center" vertical="top"/>
    </xf>
    <xf numFmtId="0" fontId="1" fillId="3" borderId="0" applyAlignment="1" pivotButton="0" quotePrefix="0" xfId="0">
      <alignment vertical="bottom"/>
    </xf>
    <xf numFmtId="0" fontId="0" fillId="0" borderId="0" pivotButton="0" quotePrefix="0" xfId="0"/>
    <xf numFmtId="0" fontId="6" fillId="6" borderId="0" applyAlignment="1" pivotButton="0" quotePrefix="0" xfId="0">
      <alignment horizontal="center" vertical="center" wrapText="1"/>
    </xf>
    <xf numFmtId="0" fontId="0" fillId="0" borderId="0" applyAlignment="1" pivotButton="0" quotePrefix="0" xfId="0">
      <alignment vertical="top" wrapText="1"/>
    </xf>
    <xf numFmtId="0" fontId="0" fillId="7" borderId="0" pivotButton="0" quotePrefix="0" xfId="0"/>
    <xf numFmtId="0" fontId="0" fillId="8" borderId="0" pivotButton="0" quotePrefix="0" xfId="0"/>
    <xf numFmtId="0" fontId="0" fillId="9"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hyperlink" Target="https://docs.google.com/spreadsheets/d/10M8oEMfSST-xuPwcSARfQDNcQJ0xrCp8O9iHBGPAr34/edit?gid=1956219685" TargetMode="External" Id="rId1" /><Relationship Type="http://schemas.openxmlformats.org/officeDocument/2006/relationships/hyperlink" Target="mailto:anand@origin.tech" TargetMode="External" Id="rId2" /><Relationship Type="http://schemas.openxmlformats.org/officeDocument/2006/relationships/hyperlink" Target="https://www.amazon.com/Warner-Drywall-Compound-Additive-96/dp/B016KWUVG4/ref=sr_1_4?crid=O8EJN4QCWVSS&amp;dib=eyJ2IjoiMSJ9.Hy6p0m_inRxGIA4MfMYq17WFDjnOcnVopkdV9-FmQKLrXSbKghDPe6fHy5TumK-4MIrRmnKKeYl7jkI_ZAD6_A.8oq1aTueK9WxZkBP_clqb9Rhn8BTL79lRy0IWUfetdg&amp;dib_tag=se&amp;keywords=no+pock+pro&amp;qid=1781467605&amp;sprefix=no+pock+pr%2Caps%2C342&amp;sr=8-4" TargetMode="External" Id="rId3" /><Relationship Type="http://schemas.openxmlformats.org/officeDocument/2006/relationships/hyperlink" Target="https://www.amazon.com/Distilled-Gallon-Container-Liquid-Single/dp/B0H3VXTBS8/ref=sr_1_23?crid=S97KEMTU0SO0&amp;dib=eyJ2IjoiMSJ9.d5i-owInjH4ib6sL9NK7-GDfG4wNroBOBTzG1rQuOaU3rXNqkLz-cLGayimUIfvHCNm0pkgpz1IGcYuWQqCWWOrDzYK0__IeTTEOWz-joLdWhcvTAAF2OOVQgsdUacazEbdUthpw4ovQkjC-rSnhs1zM4m56fwOhCBqHjnjWam0BN-tGXFWUSKySDBm57JBiGjS80b0dhPwUCc4p73XqjCjI8KGiNkne38_zsd-PPobYBta8u5kga-ucFb-lqRLejtrztykINHhpbWADPt1JAFKwN6fTTMa0wDUzXCgib6c.BXv5uRgv1WPCx6RVVeMFLSle7SSnqDcwExMiy9e28iU&amp;dib_tag=se&amp;keywords=distilled+water+1+gallon&amp;qid=1787054528&amp;sprefix=distil%2Caps%2C419&amp;sr=8-23" TargetMode="External" Id="rId4" /><Relationship Type="http://schemas.openxmlformats.org/officeDocument/2006/relationships/hyperlink" Target="https://www.amazon.com/Waziaqoc-Plastic-Graduated-LTransparent-Measuring/dp/B0DGTBCQMV/ref=sr_1_5?crid=3BSHMXY14EIA9&amp;dib=eyJ2IjoiMSJ9.l9L0IY_BenXDhUBaM4xLw9hcpSQCHwAQL5sQUdO6Ke_BBQI_s8B-JSDbzPtlYhZv85kq75VL-s2xE5YeIAwe_DNqCyNhMs0ZNvSbqoQg4Vz3AblIyFKdvOmME5lslSeD0MX861Vr7Yhh7TJ7eDuOFdz4-nKjA1hecjnQwQPfjDXfKB76V5-cktrpbwU4q70xYdFhfcA43fLS8hWoKwN4MGlW9jEjQfIsyMoakn-Frk0.yXwtrGWxv6iTrsGgsuhmT_DWc2isg1-YZESiooPSXL4&amp;dib_tag=se&amp;keywords=measuring%2Bbeaker%2B1%2Blitre&amp;qid=1787131726&amp;sprefix=measuring%2Bbeaker%2B1%2Blitre%2Caps%2C428&amp;sr=8-5&amp;th=1" TargetMode="External" Id="rId5" /></Relationships>
</file>

<file path=xl/worksheets/sheet1.xml><?xml version="1.0" encoding="utf-8"?>
<worksheet xmlns="http://schemas.openxmlformats.org/spreadsheetml/2006/main">
  <sheetPr>
    <outlinePr summaryBelow="1" summaryRight="1"/>
    <pageSetUpPr/>
  </sheetPr>
  <dimension ref="A1:N508"/>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3" customWidth="1" style="22" min="1" max="1"/>
    <col width="7" customWidth="1" style="22" min="2" max="2"/>
    <col width="26" customWidth="1" style="22" min="3" max="3"/>
    <col width="30" customWidth="1" style="22" min="4" max="4"/>
    <col width="58" customWidth="1" style="22" min="5" max="5"/>
    <col width="9" customWidth="1" style="22" min="6" max="6"/>
    <col width="16" customWidth="1" style="22" min="7" max="7"/>
    <col width="50" customWidth="1" style="22" min="8" max="8"/>
    <col width="11" customWidth="1" style="22" min="9" max="9"/>
    <col width="13" customWidth="1" style="22" min="10" max="10"/>
    <col width="10" customWidth="1" style="22" min="11" max="11"/>
    <col width="15" customWidth="1" style="22" min="12" max="12"/>
    <col width="18" customWidth="1" style="22" min="13" max="13"/>
    <col width="32" customWidth="1" style="22" min="14" max="14"/>
  </cols>
  <sheetData>
    <row r="1">
      <c r="A1" s="23" t="inlineStr">
        <is>
          <t>Row in Sheet1</t>
        </is>
      </c>
      <c r="B1" s="23" t="inlineStr">
        <is>
          <t>Box</t>
        </is>
      </c>
      <c r="C1" s="23" t="inlineStr">
        <is>
          <t>Box category</t>
        </is>
      </c>
      <c r="D1" s="23" t="inlineStr">
        <is>
          <t>Sub-category</t>
        </is>
      </c>
      <c r="E1" s="23" t="inlineStr">
        <is>
          <t>Item</t>
        </is>
      </c>
      <c r="F1" s="23" t="inlineStr">
        <is>
          <t>Qty</t>
        </is>
      </c>
      <c r="G1" s="23" t="inlineStr">
        <is>
          <t>Classification</t>
        </is>
      </c>
      <c r="H1" s="23" t="inlineStr">
        <is>
          <t>Basis</t>
        </is>
      </c>
      <c r="I1" s="23" t="inlineStr">
        <is>
          <t>Owner</t>
        </is>
      </c>
      <c r="J1" s="23" t="inlineStr">
        <is>
          <t>Procure from</t>
        </is>
      </c>
      <c r="K1" s="23" t="inlineStr">
        <is>
          <t>PR raised</t>
        </is>
      </c>
      <c r="L1" s="23" t="inlineStr">
        <is>
          <t>PR number</t>
        </is>
      </c>
      <c r="M1" s="23" t="inlineStr">
        <is>
          <t>Procurement status</t>
        </is>
      </c>
      <c r="N1" s="23" t="inlineStr">
        <is>
          <t>Mobile / Stationary</t>
        </is>
      </c>
    </row>
    <row r="2">
      <c r="A2" t="n">
        <v>1</v>
      </c>
      <c r="B2" t="n">
        <v>10</v>
      </c>
      <c r="C2" t="inlineStr">
        <is>
          <t>Power &amp; Switching</t>
        </is>
      </c>
      <c r="D2" t="inlineStr">
        <is>
          <t>10-A Fuses</t>
        </is>
      </c>
      <c r="E2" s="24" t="inlineStr">
        <is>
          <t>Fuse - ANM 250 A / 70 V (ANM70V-250A) - robot main</t>
        </is>
      </c>
      <c r="F2" t="inlineStr">
        <is>
          <t>3</t>
        </is>
      </c>
      <c r="G2" s="25" t="inlineStr">
        <is>
          <t>Consumable</t>
        </is>
      </c>
      <c r="H2" s="24" t="inlineStr">
        <is>
          <t>Fuse - single-use protection element</t>
        </is>
      </c>
      <c r="I2" t="inlineStr">
        <is>
          <t>Badri</t>
        </is>
      </c>
      <c r="J2" t="inlineStr">
        <is>
          <t>India</t>
        </is>
      </c>
      <c r="K2" t="inlineStr">
        <is>
          <t>No</t>
        </is>
      </c>
      <c r="M2" t="inlineStr">
        <is>
          <t>In stock</t>
        </is>
      </c>
      <c r="N2" t="inlineStr">
        <is>
          <t>Mobile (travels with robot)</t>
        </is>
      </c>
    </row>
    <row r="3">
      <c r="A3" t="n">
        <v>2</v>
      </c>
      <c r="B3" t="n">
        <v>10</v>
      </c>
      <c r="C3" t="inlineStr">
        <is>
          <t>Power &amp; Switching</t>
        </is>
      </c>
      <c r="D3" t="inlineStr">
        <is>
          <t>10-A Fuses</t>
        </is>
      </c>
      <c r="E3" s="24" t="inlineStr">
        <is>
          <t>Fuse - ATN 20 A - travel motor, UR Controller, Planner Actuation, Planner Logic Buck</t>
        </is>
      </c>
      <c r="F3" t="inlineStr">
        <is>
          <t>10.0</t>
        </is>
      </c>
      <c r="G3" s="25" t="inlineStr">
        <is>
          <t>Consumable</t>
        </is>
      </c>
      <c r="H3" s="24" t="inlineStr">
        <is>
          <t>Fuse - single-use protection element</t>
        </is>
      </c>
      <c r="I3" t="inlineStr">
        <is>
          <t>Badri</t>
        </is>
      </c>
      <c r="J3" t="inlineStr">
        <is>
          <t>India</t>
        </is>
      </c>
      <c r="K3" t="inlineStr">
        <is>
          <t>No</t>
        </is>
      </c>
      <c r="M3" t="inlineStr">
        <is>
          <t>In stock</t>
        </is>
      </c>
      <c r="N3" t="inlineStr">
        <is>
          <t>Mobile (travels with robot)</t>
        </is>
      </c>
    </row>
    <row r="4">
      <c r="A4" t="n">
        <v>3</v>
      </c>
      <c r="B4" t="n">
        <v>10</v>
      </c>
      <c r="C4" t="inlineStr">
        <is>
          <t>Power &amp; Switching</t>
        </is>
      </c>
      <c r="D4" t="inlineStr">
        <is>
          <t>10-A Fuses</t>
        </is>
      </c>
      <c r="E4" s="24" t="inlineStr">
        <is>
          <t>Fuse - ATN 10 A - steering motor</t>
        </is>
      </c>
      <c r="F4" t="inlineStr">
        <is>
          <t>6</t>
        </is>
      </c>
      <c r="G4" s="25" t="inlineStr">
        <is>
          <t>Consumable</t>
        </is>
      </c>
      <c r="H4" s="24" t="inlineStr">
        <is>
          <t>Fuse - single-use protection element</t>
        </is>
      </c>
      <c r="I4" t="inlineStr">
        <is>
          <t>Badri</t>
        </is>
      </c>
      <c r="J4" t="inlineStr">
        <is>
          <t>India</t>
        </is>
      </c>
      <c r="K4" t="inlineStr">
        <is>
          <t>No</t>
        </is>
      </c>
      <c r="M4" t="inlineStr">
        <is>
          <t>In stock</t>
        </is>
      </c>
      <c r="N4" t="inlineStr">
        <is>
          <t>Mobile (travels with robot)</t>
        </is>
      </c>
    </row>
    <row r="5">
      <c r="A5" t="n">
        <v>4</v>
      </c>
      <c r="B5" t="n">
        <v>10</v>
      </c>
      <c r="C5" t="inlineStr">
        <is>
          <t>Power &amp; Switching</t>
        </is>
      </c>
      <c r="D5" t="inlineStr">
        <is>
          <t>10-A Fuses</t>
        </is>
      </c>
      <c r="E5" s="24" t="inlineStr">
        <is>
          <t>Fuse - ATM 40 A - lift kit</t>
        </is>
      </c>
      <c r="F5" t="inlineStr">
        <is>
          <t>2</t>
        </is>
      </c>
      <c r="G5" s="25" t="inlineStr">
        <is>
          <t>Consumable</t>
        </is>
      </c>
      <c r="H5" s="24" t="inlineStr">
        <is>
          <t>Fuse - single-use protection element</t>
        </is>
      </c>
      <c r="I5" t="inlineStr">
        <is>
          <t>Badri</t>
        </is>
      </c>
      <c r="J5" t="inlineStr">
        <is>
          <t>India</t>
        </is>
      </c>
      <c r="K5" t="inlineStr">
        <is>
          <t>No</t>
        </is>
      </c>
      <c r="M5" t="inlineStr">
        <is>
          <t>In stock</t>
        </is>
      </c>
      <c r="N5" t="inlineStr">
        <is>
          <t>Mobile (travels with robot)</t>
        </is>
      </c>
    </row>
    <row r="6">
      <c r="A6" t="n">
        <v>5</v>
      </c>
      <c r="B6" t="n">
        <v>10</v>
      </c>
      <c r="C6" t="inlineStr">
        <is>
          <t>Power &amp; Switching</t>
        </is>
      </c>
      <c r="D6" t="inlineStr">
        <is>
          <t>10-A Fuses</t>
        </is>
      </c>
      <c r="E6" s="24" t="inlineStr">
        <is>
          <t>Fuse - ATN 15 A - control logic buck</t>
        </is>
      </c>
      <c r="F6" t="inlineStr">
        <is>
          <t>2</t>
        </is>
      </c>
      <c r="G6" s="25" t="inlineStr">
        <is>
          <t>Consumable</t>
        </is>
      </c>
      <c r="H6" s="24" t="inlineStr">
        <is>
          <t>Fuse - single-use protection element</t>
        </is>
      </c>
      <c r="I6" t="inlineStr">
        <is>
          <t>Badri</t>
        </is>
      </c>
      <c r="J6" t="inlineStr">
        <is>
          <t>India</t>
        </is>
      </c>
      <c r="K6" t="inlineStr">
        <is>
          <t>No</t>
        </is>
      </c>
      <c r="M6" t="inlineStr">
        <is>
          <t>In stock</t>
        </is>
      </c>
      <c r="N6" t="inlineStr">
        <is>
          <t>NY Stationary (stays in NY inventory)</t>
        </is>
      </c>
    </row>
    <row r="7">
      <c r="A7" t="n">
        <v>6</v>
      </c>
      <c r="B7" t="n">
        <v>10</v>
      </c>
      <c r="C7" t="inlineStr">
        <is>
          <t>Power &amp; Switching</t>
        </is>
      </c>
      <c r="D7" t="inlineStr">
        <is>
          <t>10-A Fuses</t>
        </is>
      </c>
      <c r="E7" s="24" t="inlineStr">
        <is>
          <t>Fuse - ANM 125 A / 70 V (ANM70V-125A) - OST main</t>
        </is>
      </c>
      <c r="F7" t="inlineStr">
        <is>
          <t>2</t>
        </is>
      </c>
      <c r="G7" s="25" t="inlineStr">
        <is>
          <t>Consumable</t>
        </is>
      </c>
      <c r="H7" s="24" t="inlineStr">
        <is>
          <t>Fuse - single-use protection element</t>
        </is>
      </c>
      <c r="I7" t="inlineStr">
        <is>
          <t>Badri</t>
        </is>
      </c>
      <c r="J7" t="inlineStr">
        <is>
          <t>India</t>
        </is>
      </c>
      <c r="K7" t="inlineStr">
        <is>
          <t>No</t>
        </is>
      </c>
      <c r="M7" t="inlineStr">
        <is>
          <t>In stock</t>
        </is>
      </c>
      <c r="N7" t="inlineStr">
        <is>
          <t>Mobile (travels with robot)</t>
        </is>
      </c>
    </row>
    <row r="8">
      <c r="A8" t="n">
        <v>7</v>
      </c>
      <c r="B8" t="n">
        <v>10</v>
      </c>
      <c r="C8" t="inlineStr">
        <is>
          <t>Power &amp; Switching</t>
        </is>
      </c>
      <c r="D8" t="inlineStr">
        <is>
          <t>10-A Fuses</t>
        </is>
      </c>
      <c r="E8" s="24" t="inlineStr">
        <is>
          <t>Fuse - Blade Mini 5 A - OST logic, TS sander actuation SMPS, TS sprayer actuation SMPS</t>
        </is>
      </c>
      <c r="F8" t="inlineStr">
        <is>
          <t>5.0</t>
        </is>
      </c>
      <c r="G8" s="25" t="inlineStr">
        <is>
          <t>Consumable</t>
        </is>
      </c>
      <c r="H8" s="24" t="inlineStr">
        <is>
          <t>Fuse - single-use protection element</t>
        </is>
      </c>
      <c r="I8" t="inlineStr">
        <is>
          <t>Badri</t>
        </is>
      </c>
      <c r="J8" t="inlineStr">
        <is>
          <t>India</t>
        </is>
      </c>
      <c r="K8" t="inlineStr">
        <is>
          <t>No</t>
        </is>
      </c>
      <c r="M8" t="inlineStr">
        <is>
          <t>In stock</t>
        </is>
      </c>
      <c r="N8" t="inlineStr">
        <is>
          <t>Mobile (travels with robot)</t>
        </is>
      </c>
    </row>
    <row r="9">
      <c r="A9" t="n">
        <v>8</v>
      </c>
      <c r="B9" t="n">
        <v>10</v>
      </c>
      <c r="C9" t="inlineStr">
        <is>
          <t>Power &amp; Switching</t>
        </is>
      </c>
      <c r="D9" t="inlineStr">
        <is>
          <t>10-B Circuit Protection &amp; IMD</t>
        </is>
      </c>
      <c r="E9" s="24" t="inlineStr">
        <is>
          <t>SPD - Surge Protection Device, VAL-SEC-T2-2+0-48DC-FM</t>
        </is>
      </c>
      <c r="F9" t="inlineStr">
        <is>
          <t>1</t>
        </is>
      </c>
      <c r="G9" s="26" t="inlineStr">
        <is>
          <t>Not consumable</t>
        </is>
      </c>
      <c r="H9" s="24" t="inlineStr">
        <is>
          <t>Durable equipment / spare component</t>
        </is>
      </c>
      <c r="I9" t="inlineStr">
        <is>
          <t>Badri</t>
        </is>
      </c>
      <c r="J9" t="inlineStr">
        <is>
          <t>India</t>
        </is>
      </c>
      <c r="K9" t="inlineStr">
        <is>
          <t>Yes</t>
        </is>
      </c>
      <c r="L9" t="inlineStr">
        <is>
          <t>PR-2026-1679</t>
        </is>
      </c>
      <c r="M9" t="inlineStr">
        <is>
          <t>IQC Stage</t>
        </is>
      </c>
      <c r="N9" t="inlineStr">
        <is>
          <t>NY Stationary (stays in NY inventory)</t>
        </is>
      </c>
    </row>
    <row r="10">
      <c r="A10" t="n">
        <v>9</v>
      </c>
      <c r="B10" t="n">
        <v>10</v>
      </c>
      <c r="C10" t="inlineStr">
        <is>
          <t>Power &amp; Switching</t>
        </is>
      </c>
      <c r="D10" t="inlineStr">
        <is>
          <t>10-B Circuit Protection &amp; IMD</t>
        </is>
      </c>
      <c r="E10" s="24" t="inlineStr">
        <is>
          <t>IMD - AC Insulation Monitoring, ABB CM-IWS.1</t>
        </is>
      </c>
      <c r="F10" t="inlineStr">
        <is>
          <t>1</t>
        </is>
      </c>
      <c r="G10" s="26" t="inlineStr">
        <is>
          <t>Not consumable</t>
        </is>
      </c>
      <c r="H10" s="24" t="inlineStr">
        <is>
          <t>Durable equipment / spare component</t>
        </is>
      </c>
      <c r="I10" t="inlineStr">
        <is>
          <t>Badri</t>
        </is>
      </c>
      <c r="J10" t="inlineStr">
        <is>
          <t>India</t>
        </is>
      </c>
      <c r="K10" t="inlineStr">
        <is>
          <t>Yes</t>
        </is>
      </c>
      <c r="L10" t="inlineStr">
        <is>
          <t>PR-2026-1680</t>
        </is>
      </c>
      <c r="M10" t="inlineStr">
        <is>
          <t>IQC Stage</t>
        </is>
      </c>
      <c r="N10" t="inlineStr">
        <is>
          <t>Mobile (travels with robot)</t>
        </is>
      </c>
    </row>
    <row r="11">
      <c r="A11" t="n">
        <v>10</v>
      </c>
      <c r="B11" t="n">
        <v>10</v>
      </c>
      <c r="C11" t="inlineStr">
        <is>
          <t>Power &amp; Switching</t>
        </is>
      </c>
      <c r="D11" t="inlineStr">
        <is>
          <t>10-C Contactors &amp; SSRs</t>
        </is>
      </c>
      <c r="E11" s="24" t="inlineStr">
        <is>
          <t>SSR - SSR-50DD - planner logic</t>
        </is>
      </c>
      <c r="F11" t="inlineStr">
        <is>
          <t>1</t>
        </is>
      </c>
      <c r="G11" s="26" t="inlineStr">
        <is>
          <t>Not consumable</t>
        </is>
      </c>
      <c r="H11" s="24" t="inlineStr">
        <is>
          <t>Durable equipment / spare component</t>
        </is>
      </c>
      <c r="I11" t="inlineStr">
        <is>
          <t>Badri</t>
        </is>
      </c>
      <c r="J11" t="inlineStr">
        <is>
          <t>India</t>
        </is>
      </c>
      <c r="K11" t="inlineStr">
        <is>
          <t>No</t>
        </is>
      </c>
      <c r="M11" t="inlineStr">
        <is>
          <t>In stock</t>
        </is>
      </c>
      <c r="N11" t="inlineStr">
        <is>
          <t>Mobile (travels with robot)</t>
        </is>
      </c>
    </row>
    <row r="12">
      <c r="A12" t="n">
        <v>11</v>
      </c>
      <c r="B12" t="n">
        <v>10</v>
      </c>
      <c r="C12" t="inlineStr">
        <is>
          <t>Power &amp; Switching</t>
        </is>
      </c>
      <c r="D12" t="inlineStr">
        <is>
          <t>10-C Contactors &amp; SSRs</t>
        </is>
      </c>
      <c r="E12" s="24" t="inlineStr">
        <is>
          <t>SSR - SSR-10DD - OST safety</t>
        </is>
      </c>
      <c r="F12" t="inlineStr">
        <is>
          <t>1</t>
        </is>
      </c>
      <c r="G12" s="26" t="inlineStr">
        <is>
          <t>Not consumable</t>
        </is>
      </c>
      <c r="H12" s="24" t="inlineStr">
        <is>
          <t>Durable equipment / spare component</t>
        </is>
      </c>
      <c r="I12" t="inlineStr">
        <is>
          <t>Badri</t>
        </is>
      </c>
      <c r="J12" t="inlineStr">
        <is>
          <t>India</t>
        </is>
      </c>
      <c r="K12" t="inlineStr">
        <is>
          <t>No</t>
        </is>
      </c>
      <c r="M12" t="inlineStr">
        <is>
          <t>In stock</t>
        </is>
      </c>
      <c r="N12" t="inlineStr">
        <is>
          <t>NY Stationary (stays in NY inventory)</t>
        </is>
      </c>
    </row>
    <row r="13">
      <c r="A13" t="n">
        <v>12</v>
      </c>
      <c r="B13" t="n">
        <v>10</v>
      </c>
      <c r="C13" t="inlineStr">
        <is>
          <t>Power &amp; Switching</t>
        </is>
      </c>
      <c r="D13" t="inlineStr">
        <is>
          <t>10-D Power Supplies &amp; Converters</t>
        </is>
      </c>
      <c r="E13" s="24" t="inlineStr">
        <is>
          <t>Inverter - NTN-5K-248 CAN</t>
        </is>
      </c>
      <c r="F13" t="inlineStr">
        <is>
          <t>1</t>
        </is>
      </c>
      <c r="G13" s="26" t="inlineStr">
        <is>
          <t>Not consumable</t>
        </is>
      </c>
      <c r="H13" s="24" t="inlineStr">
        <is>
          <t>Durable equipment / spare component</t>
        </is>
      </c>
      <c r="I13" t="inlineStr">
        <is>
          <t>Badri</t>
        </is>
      </c>
      <c r="J13" t="inlineStr">
        <is>
          <t>India</t>
        </is>
      </c>
      <c r="K13" t="inlineStr">
        <is>
          <t>Yes</t>
        </is>
      </c>
      <c r="L13" t="inlineStr">
        <is>
          <t>PR-2026-1681</t>
        </is>
      </c>
      <c r="M13" t="inlineStr">
        <is>
          <t>IQC Stage</t>
        </is>
      </c>
      <c r="N13" t="inlineStr">
        <is>
          <t>NY Stationary (stays in NY inventory)</t>
        </is>
      </c>
    </row>
    <row r="14">
      <c r="A14" t="n">
        <v>13</v>
      </c>
      <c r="B14" t="n">
        <v>10</v>
      </c>
      <c r="C14" t="inlineStr">
        <is>
          <t>Power &amp; Switching</t>
        </is>
      </c>
      <c r="D14" t="inlineStr">
        <is>
          <t>10-D Power Supplies &amp; Converters</t>
        </is>
      </c>
      <c r="E14" s="24" t="inlineStr">
        <is>
          <t>Buck Converter - DDR-240C-24 - control logic</t>
        </is>
      </c>
      <c r="F14" t="inlineStr">
        <is>
          <t>1</t>
        </is>
      </c>
      <c r="G14" s="26" t="inlineStr">
        <is>
          <t>Not consumable</t>
        </is>
      </c>
      <c r="H14" s="24" t="inlineStr">
        <is>
          <t>Durable equipment / spare component</t>
        </is>
      </c>
      <c r="I14" t="inlineStr">
        <is>
          <t>Badri</t>
        </is>
      </c>
      <c r="J14" t="inlineStr">
        <is>
          <t>India</t>
        </is>
      </c>
      <c r="K14" t="inlineStr">
        <is>
          <t>No</t>
        </is>
      </c>
      <c r="L14" t="inlineStr">
        <is>
          <t>PR-2026-1632</t>
        </is>
      </c>
      <c r="M14" t="inlineStr">
        <is>
          <t>PR Raised</t>
        </is>
      </c>
      <c r="N14" t="inlineStr">
        <is>
          <t>Mobile (travels with robot)</t>
        </is>
      </c>
    </row>
    <row r="15">
      <c r="A15" t="n">
        <v>14</v>
      </c>
      <c r="B15" t="n">
        <v>10</v>
      </c>
      <c r="C15" t="inlineStr">
        <is>
          <t>Power &amp; Switching</t>
        </is>
      </c>
      <c r="D15" t="inlineStr">
        <is>
          <t>10-D Power Supplies &amp; Converters</t>
        </is>
      </c>
      <c r="E15" s="24" t="inlineStr">
        <is>
          <t>Buck Converter - DDR-480C-12 - planner logic</t>
        </is>
      </c>
      <c r="F15" t="inlineStr">
        <is>
          <t>1</t>
        </is>
      </c>
      <c r="G15" s="26" t="inlineStr">
        <is>
          <t>Not consumable</t>
        </is>
      </c>
      <c r="H15" s="24" t="inlineStr">
        <is>
          <t>Durable equipment / spare component</t>
        </is>
      </c>
      <c r="I15" t="inlineStr">
        <is>
          <t>Badri</t>
        </is>
      </c>
      <c r="J15" t="inlineStr">
        <is>
          <t>India</t>
        </is>
      </c>
      <c r="K15" t="inlineStr">
        <is>
          <t>No</t>
        </is>
      </c>
      <c r="M15" t="inlineStr">
        <is>
          <t>IQC Stage</t>
        </is>
      </c>
      <c r="N15" t="inlineStr">
        <is>
          <t>NY Stationary (stays in NY inventory)</t>
        </is>
      </c>
    </row>
    <row r="16">
      <c r="A16" t="n">
        <v>15</v>
      </c>
      <c r="B16" t="n">
        <v>10</v>
      </c>
      <c r="C16" t="inlineStr">
        <is>
          <t>Power &amp; Switching</t>
        </is>
      </c>
      <c r="D16" t="inlineStr">
        <is>
          <t>10-D Power Supplies &amp; Converters</t>
        </is>
      </c>
      <c r="E16" s="24" t="inlineStr">
        <is>
          <t>Trigger Board - USB Type-C PD HHM</t>
        </is>
      </c>
      <c r="F16" t="inlineStr">
        <is>
          <t>2.0</t>
        </is>
      </c>
      <c r="G16" s="26" t="inlineStr">
        <is>
          <t>Not consumable</t>
        </is>
      </c>
      <c r="H16" s="24" t="inlineStr">
        <is>
          <t>Durable equipment / spare component</t>
        </is>
      </c>
      <c r="I16" t="inlineStr">
        <is>
          <t>Uttez</t>
        </is>
      </c>
      <c r="J16" t="inlineStr">
        <is>
          <t>India</t>
        </is>
      </c>
      <c r="K16" t="inlineStr">
        <is>
          <t>No</t>
        </is>
      </c>
      <c r="L16" t="inlineStr">
        <is>
          <t>PR-2026-1501</t>
        </is>
      </c>
      <c r="M16" t="inlineStr">
        <is>
          <t>In stock</t>
        </is>
      </c>
      <c r="N16" t="inlineStr">
        <is>
          <t>Mobile (travels with robot)</t>
        </is>
      </c>
    </row>
    <row r="17">
      <c r="A17" t="n">
        <v>16</v>
      </c>
      <c r="B17" t="n">
        <v>10</v>
      </c>
      <c r="C17" t="inlineStr">
        <is>
          <t>Power &amp; Switching</t>
        </is>
      </c>
      <c r="D17" t="inlineStr">
        <is>
          <t>10-D Power Supplies &amp; Converters</t>
        </is>
      </c>
      <c r="E17" s="24" t="inlineStr">
        <is>
          <t>Buck Converter - 5 V 3 A, AP66300 - PWM generation</t>
        </is>
      </c>
      <c r="F17" t="inlineStr">
        <is>
          <t>1.0</t>
        </is>
      </c>
      <c r="G17" s="26" t="inlineStr">
        <is>
          <t>Not consumable</t>
        </is>
      </c>
      <c r="H17" s="24" t="inlineStr">
        <is>
          <t>Durable equipment / spare component</t>
        </is>
      </c>
      <c r="I17" t="inlineStr">
        <is>
          <t>Uttez</t>
        </is>
      </c>
      <c r="J17" t="inlineStr">
        <is>
          <t>India</t>
        </is>
      </c>
      <c r="K17" t="inlineStr">
        <is>
          <t>No</t>
        </is>
      </c>
      <c r="M17" t="inlineStr">
        <is>
          <t>In stock</t>
        </is>
      </c>
      <c r="N17" t="inlineStr">
        <is>
          <t>Mobile (travels with robot)</t>
        </is>
      </c>
    </row>
    <row r="18">
      <c r="A18" t="n">
        <v>17</v>
      </c>
      <c r="B18" t="n">
        <v>10</v>
      </c>
      <c r="C18" t="inlineStr">
        <is>
          <t>Power &amp; Switching</t>
        </is>
      </c>
      <c r="D18" t="inlineStr">
        <is>
          <t>10-D Power Supplies &amp; Converters</t>
        </is>
      </c>
      <c r="E18" s="24" t="inlineStr">
        <is>
          <t>SMPS - 24 V, EDR-120-24 - TS sander actuators, TS sprayer actuators</t>
        </is>
      </c>
      <c r="F18" t="inlineStr">
        <is>
          <t>1.0</t>
        </is>
      </c>
      <c r="G18" s="26" t="inlineStr">
        <is>
          <t>Not consumable</t>
        </is>
      </c>
      <c r="H18" s="24" t="inlineStr">
        <is>
          <t>Durable equipment / spare component</t>
        </is>
      </c>
      <c r="I18" t="inlineStr">
        <is>
          <t>Uttez</t>
        </is>
      </c>
      <c r="J18" t="inlineStr">
        <is>
          <t>India</t>
        </is>
      </c>
      <c r="K18" t="inlineStr">
        <is>
          <t>Yes</t>
        </is>
      </c>
      <c r="L18" t="inlineStr">
        <is>
          <t>PR-2026-1626</t>
        </is>
      </c>
      <c r="M18" t="inlineStr">
        <is>
          <t>In stock</t>
        </is>
      </c>
      <c r="N18" t="inlineStr">
        <is>
          <t>Mobile (travels with robot)</t>
        </is>
      </c>
    </row>
    <row r="19">
      <c r="A19" t="n">
        <v>18</v>
      </c>
      <c r="B19" t="n">
        <v>10</v>
      </c>
      <c r="C19" t="inlineStr">
        <is>
          <t>Power &amp; Switching</t>
        </is>
      </c>
      <c r="D19" t="inlineStr">
        <is>
          <t>10-D Power Supplies &amp; Converters</t>
        </is>
      </c>
      <c r="E19" s="24" t="inlineStr">
        <is>
          <t>SMPS-24V (110V AC input)</t>
        </is>
      </c>
      <c r="F19" t="inlineStr">
        <is>
          <t>1.0</t>
        </is>
      </c>
      <c r="G19" s="26" t="inlineStr">
        <is>
          <t>Not consumable</t>
        </is>
      </c>
      <c r="H19" s="24" t="inlineStr">
        <is>
          <t>Durable equipment / spare component</t>
        </is>
      </c>
      <c r="I19" t="inlineStr">
        <is>
          <t>Badri</t>
        </is>
      </c>
      <c r="J19" t="inlineStr">
        <is>
          <t>India</t>
        </is>
      </c>
      <c r="K19" t="inlineStr">
        <is>
          <t>No</t>
        </is>
      </c>
      <c r="M19" t="inlineStr">
        <is>
          <t>PR Raised</t>
        </is>
      </c>
    </row>
    <row r="20">
      <c r="A20" t="n">
        <v>19</v>
      </c>
      <c r="B20" t="n">
        <v>10</v>
      </c>
      <c r="C20" t="inlineStr">
        <is>
          <t>Power &amp; Switching</t>
        </is>
      </c>
      <c r="D20" t="inlineStr">
        <is>
          <t>10-F Battery Chargers</t>
        </is>
      </c>
      <c r="E20" s="24" t="inlineStr">
        <is>
          <t>Power Bank - 25000 mAh 100 W, Stuffcool Giga Max - HHM</t>
        </is>
      </c>
      <c r="F20" t="inlineStr">
        <is>
          <t>2.0</t>
        </is>
      </c>
      <c r="G20" s="26" t="inlineStr">
        <is>
          <t>Not consumable</t>
        </is>
      </c>
      <c r="H20" s="24" t="inlineStr">
        <is>
          <t>Durable equipment / spare component</t>
        </is>
      </c>
      <c r="I20" t="inlineStr">
        <is>
          <t>Uttez</t>
        </is>
      </c>
      <c r="J20" t="inlineStr">
        <is>
          <t>India</t>
        </is>
      </c>
      <c r="K20" t="inlineStr">
        <is>
          <t>No</t>
        </is>
      </c>
      <c r="M20" t="inlineStr">
        <is>
          <t>Hold</t>
        </is>
      </c>
      <c r="N20" t="inlineStr">
        <is>
          <t>Mobile (travels with robot)</t>
        </is>
      </c>
    </row>
    <row r="21">
      <c r="A21" t="n">
        <v>20</v>
      </c>
      <c r="B21" t="n">
        <v>10</v>
      </c>
      <c r="C21" t="inlineStr">
        <is>
          <t>Power &amp; Switching</t>
        </is>
      </c>
      <c r="D21" t="inlineStr">
        <is>
          <t>10-G E-Stops &amp; Push Buttons</t>
        </is>
      </c>
      <c r="E21" s="24" t="inlineStr">
        <is>
          <t>E-Stop - Head, XB5AS8445 MoMa, OST</t>
        </is>
      </c>
      <c r="F21" t="inlineStr">
        <is>
          <t>2.0</t>
        </is>
      </c>
      <c r="G21" s="26" t="inlineStr">
        <is>
          <t>Not consumable</t>
        </is>
      </c>
      <c r="H21" s="24" t="inlineStr">
        <is>
          <t>Durable equipment / spare component</t>
        </is>
      </c>
      <c r="I21" t="inlineStr">
        <is>
          <t>Badri</t>
        </is>
      </c>
      <c r="J21" t="inlineStr">
        <is>
          <t>India</t>
        </is>
      </c>
      <c r="K21" t="inlineStr">
        <is>
          <t>No</t>
        </is>
      </c>
      <c r="L21" t="inlineStr">
        <is>
          <t>PR-2026-1613</t>
        </is>
      </c>
      <c r="M21" t="inlineStr">
        <is>
          <t>PR Raised</t>
        </is>
      </c>
      <c r="N21" t="inlineStr">
        <is>
          <t>Mobile (travels with robot)</t>
        </is>
      </c>
    </row>
    <row r="22">
      <c r="A22" t="n">
        <v>21</v>
      </c>
      <c r="B22" t="n">
        <v>10</v>
      </c>
      <c r="C22" t="inlineStr">
        <is>
          <t>Power &amp; Switching</t>
        </is>
      </c>
      <c r="D22" t="inlineStr">
        <is>
          <t>10-G E-Stops &amp; Push Buttons</t>
        </is>
      </c>
      <c r="E22" s="24" t="inlineStr">
        <is>
          <t>E-Stop - NC Contact Block, ZBE-102N MoMa, OST</t>
        </is>
      </c>
      <c r="F22" t="inlineStr">
        <is>
          <t>4.0</t>
        </is>
      </c>
      <c r="G22" s="26" t="inlineStr">
        <is>
          <t>Not consumable</t>
        </is>
      </c>
      <c r="H22" s="24" t="inlineStr">
        <is>
          <t>Durable equipment / spare component</t>
        </is>
      </c>
      <c r="I22" t="inlineStr">
        <is>
          <t>Badri</t>
        </is>
      </c>
      <c r="J22" t="inlineStr">
        <is>
          <t>India</t>
        </is>
      </c>
      <c r="K22" t="inlineStr">
        <is>
          <t>Yes</t>
        </is>
      </c>
      <c r="L22" t="inlineStr">
        <is>
          <t>PR-2026-1682</t>
        </is>
      </c>
      <c r="M22" t="inlineStr">
        <is>
          <t>In stock</t>
        </is>
      </c>
      <c r="N22" t="inlineStr">
        <is>
          <t>Mobile (travels with robot)</t>
        </is>
      </c>
    </row>
    <row r="23">
      <c r="A23" t="n">
        <v>22</v>
      </c>
      <c r="B23" t="n">
        <v>10</v>
      </c>
      <c r="C23" t="inlineStr">
        <is>
          <t>Power &amp; Switching</t>
        </is>
      </c>
      <c r="D23" t="inlineStr">
        <is>
          <t>10-G E-Stops &amp; Push Buttons</t>
        </is>
      </c>
      <c r="E23" s="24" t="inlineStr">
        <is>
          <t>Push Button - Red, XB5AA45 - TS sander sprayer</t>
        </is>
      </c>
      <c r="F23" t="inlineStr">
        <is>
          <t>2</t>
        </is>
      </c>
      <c r="G23" s="26" t="inlineStr">
        <is>
          <t>Not consumable</t>
        </is>
      </c>
      <c r="H23" s="24" t="inlineStr">
        <is>
          <t>Durable equipment / spare component</t>
        </is>
      </c>
      <c r="I23" t="inlineStr">
        <is>
          <t>Uttez</t>
        </is>
      </c>
      <c r="J23" t="inlineStr">
        <is>
          <t>India</t>
        </is>
      </c>
      <c r="K23" t="inlineStr">
        <is>
          <t>Yes</t>
        </is>
      </c>
      <c r="L23" t="inlineStr">
        <is>
          <t>PR-2026-1620</t>
        </is>
      </c>
      <c r="M23" t="inlineStr">
        <is>
          <t>In stock</t>
        </is>
      </c>
      <c r="N23" t="inlineStr">
        <is>
          <t>Mobile (travels with robot)</t>
        </is>
      </c>
    </row>
    <row r="24">
      <c r="A24" t="n">
        <v>23</v>
      </c>
      <c r="B24" t="n">
        <v>10</v>
      </c>
      <c r="C24" t="inlineStr">
        <is>
          <t>Power &amp; Switching</t>
        </is>
      </c>
      <c r="D24" t="inlineStr">
        <is>
          <t>10-G E-Stops &amp; Push Buttons</t>
        </is>
      </c>
      <c r="E24" s="24" t="inlineStr">
        <is>
          <t>Push Button - Blue, XB5AA61 - TS sander sprayer</t>
        </is>
      </c>
      <c r="F24" t="inlineStr">
        <is>
          <t>2.0</t>
        </is>
      </c>
      <c r="G24" s="26" t="inlineStr">
        <is>
          <t>Not consumable</t>
        </is>
      </c>
      <c r="H24" s="24" t="inlineStr">
        <is>
          <t>Durable equipment / spare component</t>
        </is>
      </c>
      <c r="I24" t="inlineStr">
        <is>
          <t>Uttez</t>
        </is>
      </c>
      <c r="J24" t="inlineStr">
        <is>
          <t>India</t>
        </is>
      </c>
      <c r="K24" t="inlineStr">
        <is>
          <t>No</t>
        </is>
      </c>
      <c r="L24" t="inlineStr">
        <is>
          <t>PR-2026-1621</t>
        </is>
      </c>
      <c r="M24" t="inlineStr">
        <is>
          <t>PR Raised</t>
        </is>
      </c>
      <c r="N24" t="inlineStr">
        <is>
          <t>Mobile (travels with robot)</t>
        </is>
      </c>
    </row>
    <row r="25">
      <c r="A25" t="n">
        <v>24</v>
      </c>
      <c r="B25" t="n">
        <v>10</v>
      </c>
      <c r="C25" t="inlineStr">
        <is>
          <t>Power &amp; Switching</t>
        </is>
      </c>
      <c r="D25" t="inlineStr">
        <is>
          <t>10-G E-Stops &amp; Push Buttons</t>
        </is>
      </c>
      <c r="E25" s="24" t="inlineStr">
        <is>
          <t>Push Button - Green, XB5AA31 - TS sander sprayer</t>
        </is>
      </c>
      <c r="F25" t="inlineStr">
        <is>
          <t>2</t>
        </is>
      </c>
      <c r="G25" s="26" t="inlineStr">
        <is>
          <t>Not consumable</t>
        </is>
      </c>
      <c r="H25" s="24" t="inlineStr">
        <is>
          <t>Durable equipment / spare component</t>
        </is>
      </c>
      <c r="I25" t="inlineStr">
        <is>
          <t>Uttez</t>
        </is>
      </c>
      <c r="J25" t="inlineStr">
        <is>
          <t>India</t>
        </is>
      </c>
      <c r="K25" t="inlineStr">
        <is>
          <t>Yes</t>
        </is>
      </c>
      <c r="L25" t="inlineStr">
        <is>
          <t>PR-2026-1622</t>
        </is>
      </c>
      <c r="M25" t="inlineStr">
        <is>
          <t>In stock</t>
        </is>
      </c>
      <c r="N25" t="inlineStr">
        <is>
          <t>Mobile (travels with robot)</t>
        </is>
      </c>
    </row>
    <row r="26">
      <c r="A26" t="n">
        <v>25</v>
      </c>
      <c r="B26" t="n">
        <v>10</v>
      </c>
      <c r="C26" t="inlineStr">
        <is>
          <t>Power &amp; Switching</t>
        </is>
      </c>
      <c r="D26" t="inlineStr">
        <is>
          <t>10-G E-Stops &amp; Push Buttons</t>
        </is>
      </c>
      <c r="E26" s="24" t="inlineStr">
        <is>
          <t>Push Button - Yellow, XB5AA51 - TS sander sprayer</t>
        </is>
      </c>
      <c r="F26" t="inlineStr">
        <is>
          <t>2</t>
        </is>
      </c>
      <c r="G26" s="26" t="inlineStr">
        <is>
          <t>Not consumable</t>
        </is>
      </c>
      <c r="H26" s="24" t="inlineStr">
        <is>
          <t>Durable equipment / spare component</t>
        </is>
      </c>
      <c r="I26" t="inlineStr">
        <is>
          <t>Uttez</t>
        </is>
      </c>
      <c r="J26" t="inlineStr">
        <is>
          <t>India</t>
        </is>
      </c>
      <c r="K26" t="inlineStr">
        <is>
          <t>Yes</t>
        </is>
      </c>
      <c r="L26" t="inlineStr">
        <is>
          <t>PR-2026-1621</t>
        </is>
      </c>
      <c r="M26" t="inlineStr">
        <is>
          <t>In stock</t>
        </is>
      </c>
      <c r="N26" t="inlineStr">
        <is>
          <t>Mobile (travels with robot)</t>
        </is>
      </c>
    </row>
    <row r="27">
      <c r="A27" t="n">
        <v>26</v>
      </c>
      <c r="B27" t="n">
        <v>10</v>
      </c>
      <c r="C27" t="inlineStr">
        <is>
          <t>Power &amp; Switching</t>
        </is>
      </c>
      <c r="D27" t="inlineStr">
        <is>
          <t>10-H Switches</t>
        </is>
      </c>
      <c r="E27" s="24" t="inlineStr">
        <is>
          <t>Switch - Toggle, XB5AD21 - EM latch trigger</t>
        </is>
      </c>
      <c r="F27" t="inlineStr">
        <is>
          <t>1</t>
        </is>
      </c>
      <c r="G27" s="26" t="inlineStr">
        <is>
          <t>Not consumable</t>
        </is>
      </c>
      <c r="H27" s="24" t="inlineStr">
        <is>
          <t>Durable equipment / spare component</t>
        </is>
      </c>
      <c r="I27" t="inlineStr">
        <is>
          <t>Badri</t>
        </is>
      </c>
      <c r="J27" t="inlineStr">
        <is>
          <t>India</t>
        </is>
      </c>
      <c r="K27" t="inlineStr">
        <is>
          <t>No</t>
        </is>
      </c>
      <c r="M27" t="inlineStr">
        <is>
          <t>IQC Stage</t>
        </is>
      </c>
      <c r="N27" t="inlineStr">
        <is>
          <t>Mobile (travels with robot)</t>
        </is>
      </c>
    </row>
    <row r="28">
      <c r="A28" t="n">
        <v>27</v>
      </c>
      <c r="B28" t="n">
        <v>10</v>
      </c>
      <c r="C28" t="inlineStr">
        <is>
          <t>Power &amp; Switching</t>
        </is>
      </c>
      <c r="D28" t="inlineStr">
        <is>
          <t>10-H Switches</t>
        </is>
      </c>
      <c r="E28" s="24" t="inlineStr">
        <is>
          <t>Switch - Power On, LAK39C-11T</t>
        </is>
      </c>
      <c r="F28" t="inlineStr">
        <is>
          <t>1</t>
        </is>
      </c>
      <c r="G28" s="26" t="inlineStr">
        <is>
          <t>Not consumable</t>
        </is>
      </c>
      <c r="H28" s="24" t="inlineStr">
        <is>
          <t>Durable equipment / spare component</t>
        </is>
      </c>
      <c r="I28" t="inlineStr">
        <is>
          <t>Badri</t>
        </is>
      </c>
      <c r="J28" t="inlineStr">
        <is>
          <t>India</t>
        </is>
      </c>
      <c r="K28" t="inlineStr">
        <is>
          <t>No</t>
        </is>
      </c>
      <c r="L28" t="inlineStr">
        <is>
          <t>PR-2026-1697</t>
        </is>
      </c>
      <c r="M28" t="inlineStr">
        <is>
          <t>PR Raised</t>
        </is>
      </c>
      <c r="N28" t="inlineStr">
        <is>
          <t>Mobile (travels with robot)</t>
        </is>
      </c>
    </row>
    <row r="29">
      <c r="A29" t="n">
        <v>28</v>
      </c>
      <c r="B29" t="n">
        <v>10</v>
      </c>
      <c r="C29" t="inlineStr">
        <is>
          <t>Power &amp; Switching</t>
        </is>
      </c>
      <c r="D29" t="inlineStr">
        <is>
          <t>10-H Switches</t>
        </is>
      </c>
      <c r="E29" s="24" t="inlineStr">
        <is>
          <t>Switch - Power with Integrated LED, LB12E-P10Z - HHM</t>
        </is>
      </c>
      <c r="F29" t="inlineStr">
        <is>
          <t>1.0</t>
        </is>
      </c>
      <c r="G29" s="26" t="inlineStr">
        <is>
          <t>Not consumable</t>
        </is>
      </c>
      <c r="H29" s="24" t="inlineStr">
        <is>
          <t>Durable equipment / spare component</t>
        </is>
      </c>
      <c r="I29" t="inlineStr">
        <is>
          <t>Uttez</t>
        </is>
      </c>
      <c r="J29" t="inlineStr">
        <is>
          <t>India</t>
        </is>
      </c>
      <c r="K29" t="inlineStr">
        <is>
          <t>No</t>
        </is>
      </c>
      <c r="M29" t="inlineStr">
        <is>
          <t>In stock</t>
        </is>
      </c>
      <c r="N29" t="inlineStr">
        <is>
          <t>Mobile (travels with robot)</t>
        </is>
      </c>
    </row>
    <row r="30">
      <c r="A30" t="n">
        <v>29</v>
      </c>
      <c r="B30" t="n">
        <v>10</v>
      </c>
      <c r="C30" t="inlineStr">
        <is>
          <t>Power &amp; Switching</t>
        </is>
      </c>
      <c r="D30" t="inlineStr">
        <is>
          <t>10-I Indication Lights &amp; LEDs</t>
        </is>
      </c>
      <c r="E30" s="24" t="inlineStr">
        <is>
          <t>Indication Light - 48 V DC, 3EPLBR348DC</t>
        </is>
      </c>
      <c r="F30" t="inlineStr">
        <is>
          <t>1</t>
        </is>
      </c>
      <c r="G30" s="26" t="inlineStr">
        <is>
          <t>Not consumable</t>
        </is>
      </c>
      <c r="H30" s="24" t="inlineStr">
        <is>
          <t>Durable equipment / spare component</t>
        </is>
      </c>
      <c r="I30" t="inlineStr">
        <is>
          <t>Badri</t>
        </is>
      </c>
      <c r="J30" t="inlineStr">
        <is>
          <t>India</t>
        </is>
      </c>
      <c r="K30" t="inlineStr">
        <is>
          <t>No</t>
        </is>
      </c>
      <c r="M30" t="inlineStr">
        <is>
          <t>IQC Stage</t>
        </is>
      </c>
      <c r="N30" t="inlineStr">
        <is>
          <t>NY Stationary (stays in NY inventory)</t>
        </is>
      </c>
    </row>
    <row r="31">
      <c r="A31" t="n">
        <v>30</v>
      </c>
      <c r="B31" t="n">
        <v>10</v>
      </c>
      <c r="C31" t="inlineStr">
        <is>
          <t>Power &amp; Switching</t>
        </is>
      </c>
      <c r="D31" t="inlineStr">
        <is>
          <t>10-I Indication Lights &amp; LEDs</t>
        </is>
      </c>
      <c r="E31" s="24" t="inlineStr">
        <is>
          <t>Indication Light - 24 V DC, 3EPLBR3L24DC Green MoMa, OST, TS Sander, TS Sprayer</t>
        </is>
      </c>
      <c r="F31" t="inlineStr">
        <is>
          <t>5.0</t>
        </is>
      </c>
      <c r="G31" s="26" t="inlineStr">
        <is>
          <t>Not consumable</t>
        </is>
      </c>
      <c r="H31" s="24" t="inlineStr">
        <is>
          <t>Durable equipment / spare component</t>
        </is>
      </c>
      <c r="I31" t="inlineStr">
        <is>
          <t>Badri</t>
        </is>
      </c>
      <c r="J31" t="inlineStr">
        <is>
          <t>India</t>
        </is>
      </c>
      <c r="K31" t="inlineStr">
        <is>
          <t>No</t>
        </is>
      </c>
      <c r="M31" t="inlineStr">
        <is>
          <t>In stock</t>
        </is>
      </c>
      <c r="N31" t="inlineStr">
        <is>
          <t>NY Stationary (stays in NY inventory)</t>
        </is>
      </c>
    </row>
    <row r="32">
      <c r="A32" t="n">
        <v>31</v>
      </c>
      <c r="B32" t="n">
        <v>10</v>
      </c>
      <c r="C32" t="inlineStr">
        <is>
          <t>Power &amp; Switching</t>
        </is>
      </c>
      <c r="D32" t="inlineStr">
        <is>
          <t>10-I Indication Lights &amp; LEDs</t>
        </is>
      </c>
      <c r="E32" s="24" t="inlineStr">
        <is>
          <t>Indication Light - 240 V AC, 3EPLBR5L240AC</t>
        </is>
      </c>
      <c r="F32" t="inlineStr">
        <is>
          <t>1</t>
        </is>
      </c>
      <c r="G32" s="26" t="inlineStr">
        <is>
          <t>Not consumable</t>
        </is>
      </c>
      <c r="H32" s="24" t="inlineStr">
        <is>
          <t>Durable equipment / spare component</t>
        </is>
      </c>
      <c r="I32" t="inlineStr">
        <is>
          <t>Badri</t>
        </is>
      </c>
      <c r="J32" t="inlineStr">
        <is>
          <t>India</t>
        </is>
      </c>
      <c r="K32" t="inlineStr">
        <is>
          <t>No</t>
        </is>
      </c>
      <c r="M32" t="inlineStr">
        <is>
          <t>IQC Stage</t>
        </is>
      </c>
      <c r="N32" t="inlineStr">
        <is>
          <t>NY Stationary (stays in NY inventory)</t>
        </is>
      </c>
    </row>
    <row r="33">
      <c r="A33" t="n">
        <v>32</v>
      </c>
      <c r="B33" t="n">
        <v>10</v>
      </c>
      <c r="C33" t="inlineStr">
        <is>
          <t>Power &amp; Switching</t>
        </is>
      </c>
      <c r="D33" t="inlineStr">
        <is>
          <t>10-I Indication Lights &amp; LEDs</t>
        </is>
      </c>
      <c r="E33" s="24" t="inlineStr">
        <is>
          <t>LED - Perception Light, CMB2550-57E-0A-N0B-00001</t>
        </is>
      </c>
      <c r="F33" t="inlineStr">
        <is>
          <t>7</t>
        </is>
      </c>
      <c r="G33" s="26" t="inlineStr">
        <is>
          <t>Not consumable</t>
        </is>
      </c>
      <c r="H33" s="24" t="inlineStr">
        <is>
          <t>Durable equipment / spare component</t>
        </is>
      </c>
      <c r="I33" t="inlineStr">
        <is>
          <t>Badri</t>
        </is>
      </c>
      <c r="J33" t="inlineStr">
        <is>
          <t>India</t>
        </is>
      </c>
      <c r="K33" t="inlineStr">
        <is>
          <t>No</t>
        </is>
      </c>
      <c r="L33" t="inlineStr">
        <is>
          <t>PR-2026-1633</t>
        </is>
      </c>
      <c r="M33" t="inlineStr">
        <is>
          <t>PR Raised</t>
        </is>
      </c>
      <c r="N33" t="inlineStr">
        <is>
          <t>Mobile (travels with robot)</t>
        </is>
      </c>
    </row>
    <row r="34">
      <c r="A34" t="n">
        <v>33</v>
      </c>
      <c r="B34" t="n">
        <v>10</v>
      </c>
      <c r="C34" t="inlineStr">
        <is>
          <t>Power &amp; Switching</t>
        </is>
      </c>
      <c r="D34" t="inlineStr">
        <is>
          <t>10-I Indication Lights &amp; LEDs</t>
        </is>
      </c>
      <c r="E34" s="24" t="inlineStr">
        <is>
          <t>Tower Light - 12 V, Q1-A</t>
        </is>
      </c>
      <c r="F34" t="inlineStr">
        <is>
          <t>1</t>
        </is>
      </c>
      <c r="G34" s="26" t="inlineStr">
        <is>
          <t>Not consumable</t>
        </is>
      </c>
      <c r="H34" s="24" t="inlineStr">
        <is>
          <t>Durable equipment / spare component</t>
        </is>
      </c>
      <c r="I34" t="inlineStr">
        <is>
          <t>Badri</t>
        </is>
      </c>
      <c r="J34" t="inlineStr">
        <is>
          <t>India</t>
        </is>
      </c>
      <c r="K34" t="inlineStr">
        <is>
          <t>Yes</t>
        </is>
      </c>
      <c r="L34" t="inlineStr">
        <is>
          <t>PR-2026-1698</t>
        </is>
      </c>
      <c r="M34" t="inlineStr">
        <is>
          <t>PR Raised</t>
        </is>
      </c>
      <c r="N34" t="inlineStr">
        <is>
          <t>NY Stationary (stays in NY inventory)</t>
        </is>
      </c>
    </row>
    <row r="35">
      <c r="A35" t="n">
        <v>34</v>
      </c>
      <c r="B35" t="n">
        <v>10</v>
      </c>
      <c r="C35" t="inlineStr">
        <is>
          <t>Power &amp; Switching</t>
        </is>
      </c>
      <c r="D35" t="inlineStr">
        <is>
          <t>10-I Indication Lights &amp; LEDs</t>
        </is>
      </c>
      <c r="E35" s="24" t="inlineStr">
        <is>
          <t>Enclosure - Sander Latch Indication LED (3D printed)</t>
        </is>
      </c>
      <c r="F35" t="inlineStr">
        <is>
          <t>1</t>
        </is>
      </c>
      <c r="G35" s="26" t="inlineStr">
        <is>
          <t>Not consumable</t>
        </is>
      </c>
      <c r="H35" s="24" t="inlineStr">
        <is>
          <t>Durable equipment / spare component</t>
        </is>
      </c>
      <c r="I35" t="inlineStr">
        <is>
          <t>SANKALP</t>
        </is>
      </c>
      <c r="J35" t="inlineStr">
        <is>
          <t>India</t>
        </is>
      </c>
      <c r="K35" t="inlineStr">
        <is>
          <t>No</t>
        </is>
      </c>
      <c r="M35" t="inlineStr">
        <is>
          <t>To be Printed</t>
        </is>
      </c>
    </row>
    <row r="36">
      <c r="A36" t="n">
        <v>35</v>
      </c>
      <c r="B36" t="n">
        <v>10</v>
      </c>
      <c r="C36" t="inlineStr">
        <is>
          <t>Power &amp; Switching</t>
        </is>
      </c>
      <c r="D36" t="inlineStr">
        <is>
          <t>10-I Indication Lights &amp; LEDs</t>
        </is>
      </c>
      <c r="E36" s="24" t="inlineStr">
        <is>
          <t>LED - CREE XHP70D-00-0000-0D0BP450E - EOA LED Lights with PCBS</t>
        </is>
      </c>
      <c r="F36" t="inlineStr">
        <is>
          <t>10.0</t>
        </is>
      </c>
      <c r="G36" s="26" t="inlineStr">
        <is>
          <t>Not consumable</t>
        </is>
      </c>
      <c r="H36" s="24" t="inlineStr">
        <is>
          <t>Durable equipment / spare component</t>
        </is>
      </c>
      <c r="I36" t="inlineStr">
        <is>
          <t>Uttez</t>
        </is>
      </c>
      <c r="J36" t="inlineStr">
        <is>
          <t>India</t>
        </is>
      </c>
      <c r="K36" t="inlineStr">
        <is>
          <t>Yes</t>
        </is>
      </c>
      <c r="L36" t="inlineStr">
        <is>
          <t>PR-2026-1390</t>
        </is>
      </c>
      <c r="M36" t="inlineStr">
        <is>
          <t>Payment Done</t>
        </is>
      </c>
      <c r="N36" t="inlineStr">
        <is>
          <t>Mobile (travels with robot)</t>
        </is>
      </c>
    </row>
    <row r="37">
      <c r="A37" t="n">
        <v>36</v>
      </c>
      <c r="B37" t="n">
        <v>10</v>
      </c>
      <c r="C37" t="inlineStr">
        <is>
          <t>Power &amp; Switching</t>
        </is>
      </c>
      <c r="D37" t="inlineStr">
        <is>
          <t>10-I Indication Lights &amp; LEDs</t>
        </is>
      </c>
      <c r="E37" s="24" t="inlineStr">
        <is>
          <t>LED - CREE XHP70D-00-0000-0D0BP450E  EOA Light Set for Sander Vision</t>
        </is>
      </c>
      <c r="F37" t="inlineStr">
        <is>
          <t>2.0</t>
        </is>
      </c>
      <c r="G37" s="26" t="inlineStr">
        <is>
          <t>Not consumable</t>
        </is>
      </c>
      <c r="H37" s="24" t="inlineStr">
        <is>
          <t>Durable equipment / spare component</t>
        </is>
      </c>
      <c r="I37" t="inlineStr">
        <is>
          <t>Uttez</t>
        </is>
      </c>
      <c r="J37" t="inlineStr">
        <is>
          <t>India</t>
        </is>
      </c>
      <c r="K37" t="inlineStr">
        <is>
          <t>No</t>
        </is>
      </c>
      <c r="M37" t="inlineStr">
        <is>
          <t>To be Prepared</t>
        </is>
      </c>
      <c r="N37" t="inlineStr">
        <is>
          <t>Mobile (travels with robot)</t>
        </is>
      </c>
    </row>
    <row r="38">
      <c r="A38" t="n">
        <v>37</v>
      </c>
      <c r="B38" t="n">
        <v>10</v>
      </c>
      <c r="C38" t="inlineStr">
        <is>
          <t>Power &amp; Switching</t>
        </is>
      </c>
      <c r="D38" t="inlineStr">
        <is>
          <t>10-I Indication Lights &amp; LEDs</t>
        </is>
      </c>
      <c r="E38" s="24" t="inlineStr">
        <is>
          <t>LED - CREE XHP70D-00-0000-0D0BP450E  EOA Light Set for Sprayer Vision</t>
        </is>
      </c>
      <c r="F38" t="inlineStr">
        <is>
          <t>2.0</t>
        </is>
      </c>
      <c r="G38" s="26" t="inlineStr">
        <is>
          <t>Not consumable</t>
        </is>
      </c>
      <c r="H38" s="24" t="inlineStr">
        <is>
          <t>Durable equipment / spare component</t>
        </is>
      </c>
      <c r="I38" t="inlineStr">
        <is>
          <t>Uttez</t>
        </is>
      </c>
      <c r="J38" t="inlineStr">
        <is>
          <t>India</t>
        </is>
      </c>
      <c r="K38" t="inlineStr">
        <is>
          <t>No</t>
        </is>
      </c>
      <c r="M38" t="inlineStr">
        <is>
          <t>In stock</t>
        </is>
      </c>
    </row>
    <row r="39">
      <c r="A39" t="n">
        <v>38</v>
      </c>
      <c r="B39" t="n">
        <v>10</v>
      </c>
      <c r="C39" t="inlineStr">
        <is>
          <t>Power &amp; Switching</t>
        </is>
      </c>
      <c r="D39" t="inlineStr">
        <is>
          <t>10-I Indication Lights &amp; LEDs</t>
        </is>
      </c>
      <c r="E39" s="24" t="inlineStr">
        <is>
          <t>Indicator LED - Red, 3PLBR4L-024 - TS comms / latch, sander &amp; sprayer</t>
        </is>
      </c>
      <c r="F39" t="inlineStr">
        <is>
          <t>4.0</t>
        </is>
      </c>
      <c r="G39" s="26" t="inlineStr">
        <is>
          <t>Not consumable</t>
        </is>
      </c>
      <c r="H39" s="24" t="inlineStr">
        <is>
          <t>Durable equipment / spare component</t>
        </is>
      </c>
      <c r="I39" t="inlineStr">
        <is>
          <t>Uttez</t>
        </is>
      </c>
      <c r="J39" t="inlineStr">
        <is>
          <t>India</t>
        </is>
      </c>
      <c r="K39" t="inlineStr">
        <is>
          <t>Yes</t>
        </is>
      </c>
      <c r="L39" t="inlineStr">
        <is>
          <t>PR-2026-1618</t>
        </is>
      </c>
      <c r="M39" t="inlineStr">
        <is>
          <t>In stock</t>
        </is>
      </c>
      <c r="N39" t="inlineStr">
        <is>
          <t>Mobile (travels with robot)</t>
        </is>
      </c>
    </row>
    <row r="40">
      <c r="A40" t="n">
        <v>39</v>
      </c>
      <c r="B40" t="n">
        <v>10</v>
      </c>
      <c r="C40" t="inlineStr">
        <is>
          <t>Power &amp; Switching</t>
        </is>
      </c>
      <c r="D40" t="inlineStr">
        <is>
          <t>10-J Fans &amp; Cooling</t>
        </is>
      </c>
      <c r="E40" s="24" t="inlineStr">
        <is>
          <t>Fan - Sunon 80 x 25 mm, 24 V DC - MoMa, OST, TS Sander</t>
        </is>
      </c>
      <c r="F40" t="inlineStr">
        <is>
          <t>5.0</t>
        </is>
      </c>
      <c r="G40" s="26" t="inlineStr">
        <is>
          <t>Not consumable</t>
        </is>
      </c>
      <c r="H40" s="24" t="inlineStr">
        <is>
          <t>Durable equipment / spare component</t>
        </is>
      </c>
      <c r="I40" t="inlineStr">
        <is>
          <t>Badri</t>
        </is>
      </c>
      <c r="J40" t="inlineStr">
        <is>
          <t>India</t>
        </is>
      </c>
      <c r="K40" t="inlineStr">
        <is>
          <t>No</t>
        </is>
      </c>
      <c r="L40" t="inlineStr">
        <is>
          <t>PR-2026-1659</t>
        </is>
      </c>
      <c r="M40" t="inlineStr">
        <is>
          <t>PR Raised</t>
        </is>
      </c>
      <c r="N40" t="inlineStr">
        <is>
          <t>Mobile (travels with robot)</t>
        </is>
      </c>
    </row>
    <row r="41">
      <c r="A41" t="n">
        <v>40</v>
      </c>
      <c r="B41" t="n">
        <v>10</v>
      </c>
      <c r="C41" t="inlineStr">
        <is>
          <t>Power &amp; Switching</t>
        </is>
      </c>
      <c r="D41" t="inlineStr">
        <is>
          <t>10-J Fans &amp; Cooling</t>
        </is>
      </c>
      <c r="E41" s="24" t="inlineStr">
        <is>
          <t>Fan - Sunon 80 x 25 mm, 12 V DC - cooling</t>
        </is>
      </c>
      <c r="F41" t="inlineStr">
        <is>
          <t>2</t>
        </is>
      </c>
      <c r="G41" s="26" t="inlineStr">
        <is>
          <t>Not consumable</t>
        </is>
      </c>
      <c r="H41" s="24" t="inlineStr">
        <is>
          <t>Durable equipment / spare component</t>
        </is>
      </c>
      <c r="I41" t="inlineStr">
        <is>
          <t>Badri</t>
        </is>
      </c>
      <c r="J41" t="inlineStr">
        <is>
          <t>India</t>
        </is>
      </c>
      <c r="K41" t="inlineStr">
        <is>
          <t>No</t>
        </is>
      </c>
      <c r="M41" t="inlineStr">
        <is>
          <t>IQC Stage</t>
        </is>
      </c>
      <c r="N41" t="inlineStr">
        <is>
          <t>Mobile (travels with robot)</t>
        </is>
      </c>
    </row>
    <row r="42">
      <c r="A42" t="n">
        <v>41</v>
      </c>
      <c r="B42" t="n">
        <v>10</v>
      </c>
      <c r="C42" t="inlineStr">
        <is>
          <t>Power &amp; Switching</t>
        </is>
      </c>
      <c r="D42" t="inlineStr">
        <is>
          <t>10-J Fans &amp; Cooling</t>
        </is>
      </c>
      <c r="E42" s="24" t="inlineStr">
        <is>
          <t>Fan - 35 x 35 X 10 mm, 12 V DC, MF35101V1 - cooling</t>
        </is>
      </c>
      <c r="F42" t="inlineStr">
        <is>
          <t>3.0</t>
        </is>
      </c>
      <c r="G42" s="26" t="inlineStr">
        <is>
          <t>Not consumable</t>
        </is>
      </c>
      <c r="H42" s="24" t="inlineStr">
        <is>
          <t>Durable equipment / spare component</t>
        </is>
      </c>
      <c r="I42" t="inlineStr">
        <is>
          <t>Badri</t>
        </is>
      </c>
      <c r="J42" t="inlineStr">
        <is>
          <t>India</t>
        </is>
      </c>
      <c r="K42" t="inlineStr">
        <is>
          <t>No</t>
        </is>
      </c>
      <c r="L42" t="inlineStr">
        <is>
          <t>PR-2026-1659</t>
        </is>
      </c>
      <c r="M42" t="inlineStr">
        <is>
          <t>PR Raised</t>
        </is>
      </c>
      <c r="N42" t="inlineStr">
        <is>
          <t>Mobile (travels with robot)</t>
        </is>
      </c>
    </row>
    <row r="43">
      <c r="A43" t="n">
        <v>42</v>
      </c>
      <c r="B43" t="n">
        <v>10</v>
      </c>
      <c r="C43" t="inlineStr">
        <is>
          <t>Power &amp; Switching</t>
        </is>
      </c>
      <c r="D43" t="inlineStr">
        <is>
          <t>10-J Fans &amp; Cooling</t>
        </is>
      </c>
      <c r="E43" s="24" t="inlineStr">
        <is>
          <t>Fan - Cooling - HHM 30x30 12V</t>
        </is>
      </c>
      <c r="F43" t="inlineStr">
        <is>
          <t>2</t>
        </is>
      </c>
      <c r="G43" s="26" t="inlineStr">
        <is>
          <t>Not consumable</t>
        </is>
      </c>
      <c r="H43" s="24" t="inlineStr">
        <is>
          <t>Durable equipment / spare component</t>
        </is>
      </c>
      <c r="I43" t="inlineStr">
        <is>
          <t>Uttez</t>
        </is>
      </c>
      <c r="J43" t="inlineStr">
        <is>
          <t>India</t>
        </is>
      </c>
      <c r="K43" t="inlineStr">
        <is>
          <t>No</t>
        </is>
      </c>
      <c r="M43" t="inlineStr">
        <is>
          <t>In stock</t>
        </is>
      </c>
      <c r="N43" t="inlineStr">
        <is>
          <t>Mobile (travels with robot)</t>
        </is>
      </c>
    </row>
    <row r="44">
      <c r="A44" t="n">
        <v>43</v>
      </c>
      <c r="B44" t="n">
        <v>11</v>
      </c>
      <c r="C44" t="inlineStr">
        <is>
          <t>Sensors</t>
        </is>
      </c>
      <c r="D44" t="inlineStr">
        <is>
          <t>11-A Lidars</t>
        </is>
      </c>
      <c r="E44" s="24" t="inlineStr">
        <is>
          <t>Lidar - 2D, SL450</t>
        </is>
      </c>
      <c r="F44" t="inlineStr">
        <is>
          <t>2</t>
        </is>
      </c>
      <c r="G44" s="26" t="inlineStr">
        <is>
          <t>Not consumable</t>
        </is>
      </c>
      <c r="H44" s="24" t="inlineStr">
        <is>
          <t>Durable equipment / spare component</t>
        </is>
      </c>
      <c r="I44" t="inlineStr">
        <is>
          <t>Badri</t>
        </is>
      </c>
      <c r="J44" t="inlineStr">
        <is>
          <t>India</t>
        </is>
      </c>
      <c r="K44" t="inlineStr">
        <is>
          <t>No</t>
        </is>
      </c>
      <c r="M44" t="inlineStr">
        <is>
          <t>IQC Stage</t>
        </is>
      </c>
      <c r="N44" t="inlineStr">
        <is>
          <t>NY Stationary (stays in NY inventory)</t>
        </is>
      </c>
    </row>
    <row r="45">
      <c r="A45" t="n">
        <v>44</v>
      </c>
      <c r="B45" t="n">
        <v>11</v>
      </c>
      <c r="C45" t="inlineStr">
        <is>
          <t>Sensors</t>
        </is>
      </c>
      <c r="D45" t="inlineStr">
        <is>
          <t>11-A Lidars</t>
        </is>
      </c>
      <c r="E45" s="24" t="inlineStr">
        <is>
          <t>Lidar - Solid State, YDLidar GS2</t>
        </is>
      </c>
      <c r="F45" t="inlineStr">
        <is>
          <t>2.0</t>
        </is>
      </c>
      <c r="G45" s="26" t="inlineStr">
        <is>
          <t>Not consumable</t>
        </is>
      </c>
      <c r="H45" s="24" t="inlineStr">
        <is>
          <t>Durable equipment / spare component</t>
        </is>
      </c>
      <c r="I45" t="inlineStr">
        <is>
          <t>Badri</t>
        </is>
      </c>
      <c r="J45" t="inlineStr">
        <is>
          <t>India</t>
        </is>
      </c>
      <c r="K45" t="inlineStr">
        <is>
          <t>No</t>
        </is>
      </c>
      <c r="M45" t="inlineStr">
        <is>
          <t>PR Raised</t>
        </is>
      </c>
      <c r="N45" t="inlineStr">
        <is>
          <t>NY Stationary (stays in NY inventory)</t>
        </is>
      </c>
    </row>
    <row r="46">
      <c r="A46" t="n">
        <v>45</v>
      </c>
      <c r="B46" t="n">
        <v>11</v>
      </c>
      <c r="C46" t="inlineStr">
        <is>
          <t>Sensors</t>
        </is>
      </c>
      <c r="D46" t="inlineStr">
        <is>
          <t>11-A Lidars</t>
        </is>
      </c>
      <c r="E46" s="24" t="inlineStr">
        <is>
          <t>Lidar - Solid State Driver Board, YDLidar GS2</t>
        </is>
      </c>
      <c r="F46" t="inlineStr">
        <is>
          <t>1.0</t>
        </is>
      </c>
      <c r="G46" s="26" t="inlineStr">
        <is>
          <t>Not consumable</t>
        </is>
      </c>
      <c r="H46" s="24" t="inlineStr">
        <is>
          <t>Durable equipment / spare component</t>
        </is>
      </c>
      <c r="I46" t="inlineStr">
        <is>
          <t>Badri</t>
        </is>
      </c>
      <c r="J46" t="inlineStr">
        <is>
          <t>India</t>
        </is>
      </c>
      <c r="K46" t="inlineStr">
        <is>
          <t>No</t>
        </is>
      </c>
      <c r="M46" t="inlineStr">
        <is>
          <t>IQC Stage</t>
        </is>
      </c>
      <c r="N46" t="inlineStr">
        <is>
          <t>NY Stationary (stays in NY inventory)</t>
        </is>
      </c>
    </row>
    <row r="47">
      <c r="A47" t="n">
        <v>46</v>
      </c>
      <c r="B47" t="n">
        <v>11</v>
      </c>
      <c r="C47" t="inlineStr">
        <is>
          <t>Sensors</t>
        </is>
      </c>
      <c r="D47" t="inlineStr">
        <is>
          <t>11-A Lidars</t>
        </is>
      </c>
      <c r="E47" s="24" t="inlineStr">
        <is>
          <t>Lidar - 3D, Airy96</t>
        </is>
      </c>
      <c r="F47" t="inlineStr">
        <is>
          <t>2.0</t>
        </is>
      </c>
      <c r="G47" s="26" t="inlineStr">
        <is>
          <t>Not consumable</t>
        </is>
      </c>
      <c r="H47" s="24" t="inlineStr">
        <is>
          <t>Durable equipment / spare component</t>
        </is>
      </c>
      <c r="I47" t="inlineStr">
        <is>
          <t>Badri</t>
        </is>
      </c>
      <c r="J47" t="inlineStr">
        <is>
          <t>India</t>
        </is>
      </c>
      <c r="K47" t="inlineStr">
        <is>
          <t>Yes</t>
        </is>
      </c>
      <c r="L47" t="inlineStr">
        <is>
          <t>PR-2026-1683</t>
        </is>
      </c>
      <c r="M47" t="inlineStr">
        <is>
          <t>PR Raised</t>
        </is>
      </c>
      <c r="N47" t="inlineStr">
        <is>
          <t>Mobile (travels with robot)</t>
        </is>
      </c>
    </row>
    <row r="48">
      <c r="A48" t="n">
        <v>47</v>
      </c>
      <c r="B48" t="n">
        <v>11</v>
      </c>
      <c r="C48" t="inlineStr">
        <is>
          <t>Sensors</t>
        </is>
      </c>
      <c r="D48" t="inlineStr">
        <is>
          <t>11-B Lidar &amp; Camera Mounts</t>
        </is>
      </c>
      <c r="E48" s="24" t="inlineStr">
        <is>
          <t>Mount - 2D Lidar (metal, bend + weld)</t>
        </is>
      </c>
      <c r="F48" t="inlineStr">
        <is>
          <t>2</t>
        </is>
      </c>
      <c r="G48" s="26" t="inlineStr">
        <is>
          <t>Not consumable</t>
        </is>
      </c>
      <c r="H48" s="24" t="inlineStr">
        <is>
          <t>Durable equipment / spare component</t>
        </is>
      </c>
      <c r="I48" t="inlineStr">
        <is>
          <t>Kaustubh</t>
        </is>
      </c>
      <c r="J48" t="inlineStr">
        <is>
          <t>India</t>
        </is>
      </c>
      <c r="K48" t="inlineStr">
        <is>
          <t>No</t>
        </is>
      </c>
      <c r="L48" t="inlineStr">
        <is>
          <t>PR-2026-1638</t>
        </is>
      </c>
      <c r="M48" t="inlineStr">
        <is>
          <t>PR Raised</t>
        </is>
      </c>
      <c r="N48" t="inlineStr">
        <is>
          <t>Mobile (travels with robot)</t>
        </is>
      </c>
    </row>
    <row r="49">
      <c r="A49" t="n">
        <v>48</v>
      </c>
      <c r="B49" t="n">
        <v>11</v>
      </c>
      <c r="C49" t="inlineStr">
        <is>
          <t>Sensors</t>
        </is>
      </c>
      <c r="D49" t="inlineStr">
        <is>
          <t>11-B Lidar &amp; Camera Mounts</t>
        </is>
      </c>
      <c r="E49" s="24" t="inlineStr">
        <is>
          <t>Mount - Solid State Lidar (3D printed + metal)</t>
        </is>
      </c>
      <c r="F49" t="inlineStr">
        <is>
          <t>2</t>
        </is>
      </c>
      <c r="G49" s="26" t="inlineStr">
        <is>
          <t>Not consumable</t>
        </is>
      </c>
      <c r="H49" s="24" t="inlineStr">
        <is>
          <t>Durable equipment / spare component</t>
        </is>
      </c>
      <c r="I49" t="inlineStr">
        <is>
          <t>Kaustubh</t>
        </is>
      </c>
      <c r="J49" t="inlineStr">
        <is>
          <t>India</t>
        </is>
      </c>
      <c r="K49" t="inlineStr">
        <is>
          <t>No</t>
        </is>
      </c>
      <c r="L49" t="inlineStr">
        <is>
          <t>PR-2026-1638</t>
        </is>
      </c>
      <c r="M49" t="inlineStr">
        <is>
          <t>PR Raised</t>
        </is>
      </c>
      <c r="N49" t="inlineStr">
        <is>
          <t>Mobile (travels with robot)</t>
        </is>
      </c>
    </row>
    <row r="50">
      <c r="A50" t="n">
        <v>49</v>
      </c>
      <c r="B50" t="n">
        <v>13</v>
      </c>
      <c r="C50" t="inlineStr">
        <is>
          <t>Diagnostic &amp; repair tools</t>
        </is>
      </c>
      <c r="D50" t="inlineStr">
        <is>
          <t>13-K Crimping Tools</t>
        </is>
      </c>
      <c r="E50" s="24" t="inlineStr">
        <is>
          <t>Crimping Tool - Anderson</t>
        </is>
      </c>
      <c r="F50" t="inlineStr">
        <is>
          <t>1</t>
        </is>
      </c>
      <c r="G50" s="26" t="inlineStr">
        <is>
          <t>Not consumable</t>
        </is>
      </c>
      <c r="H50" s="24" t="inlineStr">
        <is>
          <t>Durable equipment / spare component</t>
        </is>
      </c>
      <c r="I50" t="inlineStr">
        <is>
          <t>Badri</t>
        </is>
      </c>
      <c r="J50" t="inlineStr">
        <is>
          <t>India</t>
        </is>
      </c>
      <c r="K50" t="inlineStr">
        <is>
          <t>No</t>
        </is>
      </c>
      <c r="M50" t="inlineStr">
        <is>
          <t>PR Raised</t>
        </is>
      </c>
    </row>
    <row r="51">
      <c r="A51" t="n">
        <v>50</v>
      </c>
      <c r="B51" t="n">
        <v>11</v>
      </c>
      <c r="C51" t="inlineStr">
        <is>
          <t>Sensors</t>
        </is>
      </c>
      <c r="D51" t="inlineStr">
        <is>
          <t>11-B Lidar &amp; Camera Mounts</t>
        </is>
      </c>
      <c r="E51" s="24" t="inlineStr">
        <is>
          <t>Mount - Side Camera (3D printed)</t>
        </is>
      </c>
      <c r="F51" t="inlineStr">
        <is>
          <t>2</t>
        </is>
      </c>
      <c r="G51" s="26" t="inlineStr">
        <is>
          <t>Not consumable</t>
        </is>
      </c>
      <c r="H51" s="24" t="inlineStr">
        <is>
          <t>Durable equipment / spare component</t>
        </is>
      </c>
      <c r="I51" t="inlineStr">
        <is>
          <t>Kaustubh</t>
        </is>
      </c>
      <c r="J51" t="inlineStr">
        <is>
          <t>India</t>
        </is>
      </c>
      <c r="K51" t="inlineStr">
        <is>
          <t>No</t>
        </is>
      </c>
      <c r="M51" t="inlineStr">
        <is>
          <t>To be Printed</t>
        </is>
      </c>
      <c r="N51" t="inlineStr">
        <is>
          <t>NY Stationary (stays in NY inventory)</t>
        </is>
      </c>
    </row>
    <row r="52">
      <c r="A52" t="n">
        <v>51</v>
      </c>
      <c r="B52" t="n">
        <v>11</v>
      </c>
      <c r="C52" t="inlineStr">
        <is>
          <t>Sensors</t>
        </is>
      </c>
      <c r="D52" t="inlineStr">
        <is>
          <t>11-C Cameras &amp; Lenses</t>
        </is>
      </c>
      <c r="E52" s="24" t="inlineStr">
        <is>
          <t>Camera - STURDeCAM25 - perception</t>
        </is>
      </c>
      <c r="F52" t="inlineStr">
        <is>
          <t>2</t>
        </is>
      </c>
      <c r="G52" s="26" t="inlineStr">
        <is>
          <t>Not consumable</t>
        </is>
      </c>
      <c r="H52" s="24" t="inlineStr">
        <is>
          <t>Durable equipment / spare component</t>
        </is>
      </c>
      <c r="I52" t="inlineStr">
        <is>
          <t>Badri</t>
        </is>
      </c>
      <c r="J52" t="inlineStr">
        <is>
          <t>India</t>
        </is>
      </c>
      <c r="K52" t="inlineStr">
        <is>
          <t>Yes</t>
        </is>
      </c>
      <c r="L52" t="inlineStr">
        <is>
          <t>PR-2026-1685</t>
        </is>
      </c>
      <c r="M52" t="inlineStr">
        <is>
          <t>PR Raised</t>
        </is>
      </c>
      <c r="N52" t="inlineStr">
        <is>
          <t>Mobile (travels with robot)</t>
        </is>
      </c>
    </row>
    <row r="53">
      <c r="A53" t="n">
        <v>52</v>
      </c>
      <c r="B53" t="n">
        <v>11</v>
      </c>
      <c r="C53" t="inlineStr">
        <is>
          <t>Sensors</t>
        </is>
      </c>
      <c r="D53" t="inlineStr">
        <is>
          <t>11-C Cameras &amp; Lenses</t>
        </is>
      </c>
      <c r="E53" s="24" t="inlineStr">
        <is>
          <t>Camera - Arducam MIPI-CSI2 B0579 - HHM</t>
        </is>
      </c>
      <c r="F53" t="inlineStr">
        <is>
          <t>1.0</t>
        </is>
      </c>
      <c r="G53" s="26" t="inlineStr">
        <is>
          <t>Not consumable</t>
        </is>
      </c>
      <c r="H53" s="24" t="inlineStr">
        <is>
          <t>Durable equipment / spare component</t>
        </is>
      </c>
      <c r="I53" t="inlineStr">
        <is>
          <t>Uttez</t>
        </is>
      </c>
      <c r="J53" t="inlineStr">
        <is>
          <t>India</t>
        </is>
      </c>
      <c r="K53" t="inlineStr">
        <is>
          <t>No</t>
        </is>
      </c>
      <c r="M53" t="inlineStr">
        <is>
          <t>IQC Stage</t>
        </is>
      </c>
      <c r="N53" t="inlineStr">
        <is>
          <t>Mobile (travels with robot)</t>
        </is>
      </c>
    </row>
    <row r="54">
      <c r="A54" t="n">
        <v>53</v>
      </c>
      <c r="B54" t="n">
        <v>11</v>
      </c>
      <c r="C54" t="inlineStr">
        <is>
          <t>Sensors</t>
        </is>
      </c>
      <c r="D54" t="inlineStr">
        <is>
          <t>11-C Cameras &amp; Lenses</t>
        </is>
      </c>
      <c r="E54" s="24" t="inlineStr">
        <is>
          <t>Lens - Arducam M23325H12 - HHM</t>
        </is>
      </c>
      <c r="F54" t="inlineStr">
        <is>
          <t>1.0</t>
        </is>
      </c>
      <c r="G54" s="26" t="inlineStr">
        <is>
          <t>Not consumable</t>
        </is>
      </c>
      <c r="H54" s="24" t="inlineStr">
        <is>
          <t>Durable equipment / spare component</t>
        </is>
      </c>
      <c r="I54" t="inlineStr">
        <is>
          <t>Uttez</t>
        </is>
      </c>
      <c r="J54" t="inlineStr">
        <is>
          <t>India</t>
        </is>
      </c>
      <c r="K54" t="inlineStr">
        <is>
          <t>Yes</t>
        </is>
      </c>
      <c r="L54" t="inlineStr">
        <is>
          <t>PR-2026-1686</t>
        </is>
      </c>
      <c r="M54" t="inlineStr">
        <is>
          <t>IQC Stage</t>
        </is>
      </c>
      <c r="N54" t="inlineStr">
        <is>
          <t>Mobile (travels with robot)</t>
        </is>
      </c>
    </row>
    <row r="55">
      <c r="A55" t="n">
        <v>54</v>
      </c>
      <c r="B55" t="n">
        <v>11</v>
      </c>
      <c r="C55" t="inlineStr">
        <is>
          <t>Sensors</t>
        </is>
      </c>
      <c r="D55" t="inlineStr">
        <is>
          <t>11-C Cameras &amp; Lenses</t>
        </is>
      </c>
      <c r="E55" s="24" t="inlineStr">
        <is>
          <t>Assembly - EOA Sander Vision (custom, assembled)</t>
        </is>
      </c>
      <c r="F55" t="inlineStr">
        <is>
          <t>1</t>
        </is>
      </c>
      <c r="G55" s="26" t="inlineStr">
        <is>
          <t>Not consumable</t>
        </is>
      </c>
      <c r="H55" s="24" t="inlineStr">
        <is>
          <t>Durable equipment / spare component</t>
        </is>
      </c>
      <c r="I55" t="inlineStr">
        <is>
          <t>SANKALP</t>
        </is>
      </c>
      <c r="J55" t="inlineStr">
        <is>
          <t>India</t>
        </is>
      </c>
      <c r="K55" t="inlineStr">
        <is>
          <t>Yes</t>
        </is>
      </c>
      <c r="L55" t="inlineStr">
        <is>
          <t>PR-2026-1530</t>
        </is>
      </c>
      <c r="M55" t="inlineStr">
        <is>
          <t>In stock</t>
        </is>
      </c>
    </row>
    <row r="56">
      <c r="A56" t="n">
        <v>55</v>
      </c>
      <c r="B56" t="n">
        <v>11</v>
      </c>
      <c r="C56" t="inlineStr">
        <is>
          <t>Sensors</t>
        </is>
      </c>
      <c r="D56" t="inlineStr">
        <is>
          <t>11-C Cameras &amp; Lenses</t>
        </is>
      </c>
      <c r="E56" s="24" t="inlineStr">
        <is>
          <t>Camera - Orbbec Gemini 335LE, G40055-570 - EOA sprayer vision</t>
        </is>
      </c>
      <c r="F56" t="inlineStr">
        <is>
          <t>1</t>
        </is>
      </c>
      <c r="G56" s="26" t="inlineStr">
        <is>
          <t>Not consumable</t>
        </is>
      </c>
      <c r="H56" s="24" t="inlineStr">
        <is>
          <t>Durable equipment / spare component</t>
        </is>
      </c>
      <c r="I56" t="inlineStr">
        <is>
          <t>Uttez</t>
        </is>
      </c>
      <c r="J56" t="inlineStr">
        <is>
          <t>India</t>
        </is>
      </c>
      <c r="K56" t="inlineStr">
        <is>
          <t>Yes</t>
        </is>
      </c>
      <c r="L56" t="inlineStr">
        <is>
          <t>PR-2026-1539</t>
        </is>
      </c>
      <c r="M56" t="inlineStr">
        <is>
          <t>In stock</t>
        </is>
      </c>
      <c r="N56" t="inlineStr">
        <is>
          <t>Mobile (travels with robot)</t>
        </is>
      </c>
    </row>
    <row r="57">
      <c r="A57" t="n">
        <v>56</v>
      </c>
      <c r="B57" t="n">
        <v>11</v>
      </c>
      <c r="C57" t="inlineStr">
        <is>
          <t>Sensors</t>
        </is>
      </c>
      <c r="D57" t="inlineStr">
        <is>
          <t>11-C Cameras &amp; Lenses</t>
        </is>
      </c>
      <c r="E57" s="24" t="inlineStr">
        <is>
          <t>Camera - Lucid TRI124S-MC Monochrome - EOA sander vision + lens</t>
        </is>
      </c>
      <c r="F57" t="inlineStr">
        <is>
          <t>1</t>
        </is>
      </c>
      <c r="G57" s="26" t="inlineStr">
        <is>
          <t>Not consumable</t>
        </is>
      </c>
      <c r="H57" s="24" t="inlineStr">
        <is>
          <t>Durable equipment / spare component</t>
        </is>
      </c>
      <c r="I57" t="inlineStr">
        <is>
          <t>Uttez</t>
        </is>
      </c>
      <c r="J57" t="inlineStr">
        <is>
          <t>Buy in US</t>
        </is>
      </c>
      <c r="K57" t="inlineStr">
        <is>
          <t>No</t>
        </is>
      </c>
      <c r="M57" t="inlineStr">
        <is>
          <t>PR Raised</t>
        </is>
      </c>
      <c r="N57" t="inlineStr">
        <is>
          <t>Mobile (travels with robot)</t>
        </is>
      </c>
    </row>
    <row r="58">
      <c r="A58" t="n">
        <v>57</v>
      </c>
      <c r="B58" t="n">
        <v>11</v>
      </c>
      <c r="C58" t="inlineStr">
        <is>
          <t>Sensors</t>
        </is>
      </c>
      <c r="D58" t="inlineStr">
        <is>
          <t>11-D IMU &amp; Encoders</t>
        </is>
      </c>
      <c r="E58" s="24" t="inlineStr">
        <is>
          <t>PCB - IMU with BNO085, V1.0</t>
        </is>
      </c>
      <c r="F58" t="inlineStr">
        <is>
          <t>1</t>
        </is>
      </c>
      <c r="G58" s="26" t="inlineStr">
        <is>
          <t>Not consumable</t>
        </is>
      </c>
      <c r="H58" s="24" t="inlineStr">
        <is>
          <t>Durable equipment / spare component</t>
        </is>
      </c>
      <c r="I58" t="inlineStr">
        <is>
          <t>Badri</t>
        </is>
      </c>
      <c r="J58" t="inlineStr">
        <is>
          <t>India</t>
        </is>
      </c>
      <c r="K58" t="inlineStr">
        <is>
          <t>No</t>
        </is>
      </c>
      <c r="M58" t="inlineStr">
        <is>
          <t>IQC Stage</t>
        </is>
      </c>
      <c r="N58" t="inlineStr">
        <is>
          <t>Mobile (travels with robot)</t>
        </is>
      </c>
    </row>
    <row r="59">
      <c r="A59" t="n">
        <v>58</v>
      </c>
      <c r="B59" t="n">
        <v>11</v>
      </c>
      <c r="C59" t="inlineStr">
        <is>
          <t>Sensors</t>
        </is>
      </c>
      <c r="D59" t="inlineStr">
        <is>
          <t>11-E Load Cells &amp; Current Sensors</t>
        </is>
      </c>
      <c r="E59" s="24" t="inlineStr">
        <is>
          <t>Load Cell - CZL601AC - TS sander, TS Sprayer</t>
        </is>
      </c>
      <c r="F59" t="inlineStr">
        <is>
          <t>2.0</t>
        </is>
      </c>
      <c r="G59" s="26" t="inlineStr">
        <is>
          <t>Not consumable</t>
        </is>
      </c>
      <c r="H59" s="24" t="inlineStr">
        <is>
          <t>Durable equipment / spare component</t>
        </is>
      </c>
      <c r="I59" t="inlineStr">
        <is>
          <t>Uttez</t>
        </is>
      </c>
      <c r="J59" t="inlineStr">
        <is>
          <t>India</t>
        </is>
      </c>
      <c r="K59" t="inlineStr">
        <is>
          <t>No</t>
        </is>
      </c>
      <c r="M59" t="inlineStr">
        <is>
          <t>IQC Stage</t>
        </is>
      </c>
      <c r="N59" t="inlineStr">
        <is>
          <t>Mobile (travels with robot)</t>
        </is>
      </c>
    </row>
    <row r="60">
      <c r="A60" t="n">
        <v>59</v>
      </c>
      <c r="B60" t="n">
        <v>11</v>
      </c>
      <c r="C60" t="inlineStr">
        <is>
          <t>Sensors</t>
        </is>
      </c>
      <c r="D60" t="inlineStr">
        <is>
          <t>11-E Load Cells &amp; Current Sensors</t>
        </is>
      </c>
      <c r="E60" s="24" t="inlineStr">
        <is>
          <t>Current Sensor - WCS1800 - TS sander, TS Sprayer</t>
        </is>
      </c>
      <c r="F60" t="inlineStr">
        <is>
          <t>2</t>
        </is>
      </c>
      <c r="G60" s="26" t="inlineStr">
        <is>
          <t>Not consumable</t>
        </is>
      </c>
      <c r="H60" s="24" t="inlineStr">
        <is>
          <t>Durable equipment / spare component</t>
        </is>
      </c>
      <c r="I60" t="inlineStr">
        <is>
          <t>Uttez</t>
        </is>
      </c>
      <c r="J60" t="inlineStr">
        <is>
          <t>India</t>
        </is>
      </c>
      <c r="K60" t="inlineStr">
        <is>
          <t>Yes</t>
        </is>
      </c>
      <c r="L60" t="inlineStr">
        <is>
          <t>PR-2026-1627</t>
        </is>
      </c>
      <c r="M60" t="inlineStr">
        <is>
          <t>In stock</t>
        </is>
      </c>
      <c r="N60" t="inlineStr">
        <is>
          <t>Mobile (travels with robot)</t>
        </is>
      </c>
    </row>
    <row r="61">
      <c r="A61" t="n">
        <v>60</v>
      </c>
      <c r="B61" t="n">
        <v>11</v>
      </c>
      <c r="C61" t="inlineStr">
        <is>
          <t>Sensors</t>
        </is>
      </c>
      <c r="D61" t="inlineStr">
        <is>
          <t>11-F Limit &amp; Proximity Switches</t>
        </is>
      </c>
      <c r="E61" s="24" t="inlineStr">
        <is>
          <t>Switch - Reed, SMC D-M9B</t>
        </is>
      </c>
      <c r="F61" t="inlineStr">
        <is>
          <t>2</t>
        </is>
      </c>
      <c r="G61" s="26" t="inlineStr">
        <is>
          <t>Not consumable</t>
        </is>
      </c>
      <c r="H61" s="24" t="inlineStr">
        <is>
          <t>Durable equipment / spare component</t>
        </is>
      </c>
      <c r="I61" t="inlineStr">
        <is>
          <t>Badri</t>
        </is>
      </c>
      <c r="J61" t="inlineStr">
        <is>
          <t>India</t>
        </is>
      </c>
      <c r="K61" t="inlineStr">
        <is>
          <t>Yes</t>
        </is>
      </c>
      <c r="L61" t="inlineStr">
        <is>
          <t>PR-2026-1699</t>
        </is>
      </c>
      <c r="M61" t="inlineStr">
        <is>
          <t>PR Raised</t>
        </is>
      </c>
      <c r="N61" t="inlineStr">
        <is>
          <t>Mobile (travels with robot)</t>
        </is>
      </c>
    </row>
    <row r="62">
      <c r="A62" t="n">
        <v>61</v>
      </c>
      <c r="B62" t="n">
        <v>11</v>
      </c>
      <c r="C62" t="inlineStr">
        <is>
          <t>Sensors</t>
        </is>
      </c>
      <c r="D62" t="inlineStr">
        <is>
          <t>11-F Limit &amp; Proximity Switches</t>
        </is>
      </c>
      <c r="E62" s="24" t="inlineStr">
        <is>
          <t>Limit Switch - KWI-103-7 - bucket compartment door</t>
        </is>
      </c>
      <c r="F62" t="inlineStr">
        <is>
          <t>5</t>
        </is>
      </c>
      <c r="G62" s="26" t="inlineStr">
        <is>
          <t>Not consumable</t>
        </is>
      </c>
      <c r="H62" s="24" t="inlineStr">
        <is>
          <t>Durable equipment / spare component</t>
        </is>
      </c>
      <c r="I62" t="inlineStr">
        <is>
          <t>Uttez</t>
        </is>
      </c>
      <c r="J62" t="inlineStr">
        <is>
          <t>India</t>
        </is>
      </c>
      <c r="K62" t="inlineStr">
        <is>
          <t>No</t>
        </is>
      </c>
      <c r="L62" t="inlineStr">
        <is>
          <t>PR-2026-1630</t>
        </is>
      </c>
      <c r="M62" t="inlineStr">
        <is>
          <t>In stock</t>
        </is>
      </c>
      <c r="N62" t="inlineStr">
        <is>
          <t>Mobile (travels with robot)</t>
        </is>
      </c>
    </row>
    <row r="63">
      <c r="A63" t="n">
        <v>62</v>
      </c>
      <c r="B63" t="n">
        <v>11</v>
      </c>
      <c r="C63" t="inlineStr">
        <is>
          <t>Sensors</t>
        </is>
      </c>
      <c r="D63" t="inlineStr">
        <is>
          <t>11-F Limit &amp; Proximity Switches</t>
        </is>
      </c>
      <c r="E63" s="24" t="inlineStr">
        <is>
          <t>Limit Switch - ME-8111 - bucket drop</t>
        </is>
      </c>
      <c r="F63" t="inlineStr">
        <is>
          <t>5</t>
        </is>
      </c>
      <c r="G63" s="26" t="inlineStr">
        <is>
          <t>Not consumable</t>
        </is>
      </c>
      <c r="H63" s="24" t="inlineStr">
        <is>
          <t>Durable equipment / spare component</t>
        </is>
      </c>
      <c r="I63" t="inlineStr">
        <is>
          <t>Uttez</t>
        </is>
      </c>
      <c r="J63" t="inlineStr">
        <is>
          <t>India</t>
        </is>
      </c>
      <c r="K63" t="inlineStr">
        <is>
          <t>No</t>
        </is>
      </c>
      <c r="M63" t="inlineStr">
        <is>
          <t>In stock</t>
        </is>
      </c>
      <c r="N63" t="inlineStr">
        <is>
          <t>Mobile (travels with robot)</t>
        </is>
      </c>
    </row>
    <row r="64">
      <c r="A64" t="n">
        <v>63</v>
      </c>
      <c r="B64" t="n">
        <v>11</v>
      </c>
      <c r="C64" t="inlineStr">
        <is>
          <t>Sensors</t>
        </is>
      </c>
      <c r="D64" t="inlineStr">
        <is>
          <t>11-H Pressure &amp; Temperature Sensors</t>
        </is>
      </c>
      <c r="E64" s="24" t="inlineStr">
        <is>
          <t>Transducer - Pressure, Graco 243222</t>
        </is>
      </c>
      <c r="F64" t="inlineStr">
        <is>
          <t>1</t>
        </is>
      </c>
      <c r="G64" s="26" t="inlineStr">
        <is>
          <t>Not consumable</t>
        </is>
      </c>
      <c r="H64" s="24" t="inlineStr">
        <is>
          <t>Durable equipment / spare component</t>
        </is>
      </c>
      <c r="I64" t="inlineStr">
        <is>
          <t>Anand</t>
        </is>
      </c>
      <c r="J64" t="inlineStr">
        <is>
          <t>Buy in US</t>
        </is>
      </c>
      <c r="K64" t="inlineStr">
        <is>
          <t>No</t>
        </is>
      </c>
      <c r="M64" t="inlineStr">
        <is>
          <t>To be purchased</t>
        </is>
      </c>
    </row>
    <row r="65">
      <c r="A65" t="n">
        <v>64</v>
      </c>
      <c r="B65" t="n">
        <v>11</v>
      </c>
      <c r="C65" t="inlineStr">
        <is>
          <t>Sensors</t>
        </is>
      </c>
      <c r="D65" t="inlineStr">
        <is>
          <t>11-H Pressure &amp; Temperature Sensors</t>
        </is>
      </c>
      <c r="E65" s="24" t="inlineStr">
        <is>
          <t>Sensor - Temperature &amp; Humidity, AM2305B</t>
        </is>
      </c>
      <c r="F65" t="inlineStr">
        <is>
          <t>1.0</t>
        </is>
      </c>
      <c r="G65" s="26" t="inlineStr">
        <is>
          <t>Not consumable</t>
        </is>
      </c>
      <c r="H65" s="24" t="inlineStr">
        <is>
          <t>Durable equipment / spare component</t>
        </is>
      </c>
      <c r="I65" t="inlineStr">
        <is>
          <t>Uttez</t>
        </is>
      </c>
      <c r="J65" t="inlineStr">
        <is>
          <t>India</t>
        </is>
      </c>
      <c r="K65" t="inlineStr">
        <is>
          <t>No</t>
        </is>
      </c>
      <c r="M65" t="inlineStr">
        <is>
          <t>In stock</t>
        </is>
      </c>
      <c r="N65" t="inlineStr">
        <is>
          <t>Mobile (travels with robot)</t>
        </is>
      </c>
    </row>
    <row r="66">
      <c r="A66" t="n">
        <v>65</v>
      </c>
      <c r="B66" t="n">
        <v>12</v>
      </c>
      <c r="C66" t="inlineStr">
        <is>
          <t>Actuators</t>
        </is>
      </c>
      <c r="D66" t="inlineStr">
        <is>
          <t>12-B Motor Drivers</t>
        </is>
      </c>
      <c r="E66" s="24" t="inlineStr">
        <is>
          <t>Motor Driver - Lift Kit, FD145-AB-000</t>
        </is>
      </c>
      <c r="F66" t="inlineStr">
        <is>
          <t>1</t>
        </is>
      </c>
      <c r="G66" s="26" t="inlineStr">
        <is>
          <t>Not consumable</t>
        </is>
      </c>
      <c r="H66" s="24" t="inlineStr">
        <is>
          <t>Durable equipment / spare component</t>
        </is>
      </c>
      <c r="I66" t="inlineStr">
        <is>
          <t>Badri</t>
        </is>
      </c>
      <c r="J66" t="inlineStr">
        <is>
          <t>India</t>
        </is>
      </c>
      <c r="K66" t="inlineStr">
        <is>
          <t>No</t>
        </is>
      </c>
      <c r="M66" t="inlineStr">
        <is>
          <t>PR Raised</t>
        </is>
      </c>
      <c r="N66" t="inlineStr">
        <is>
          <t>Mobile (travels with robot)</t>
        </is>
      </c>
    </row>
    <row r="67">
      <c r="A67" t="n">
        <v>66</v>
      </c>
      <c r="B67" t="n">
        <v>12</v>
      </c>
      <c r="C67" t="inlineStr">
        <is>
          <t>Actuators</t>
        </is>
      </c>
      <c r="D67" t="inlineStr">
        <is>
          <t>12-C Pumps &amp; Pump Repair Kits</t>
        </is>
      </c>
      <c r="E67" s="24" t="inlineStr">
        <is>
          <t>Repair Kit - Graco Pump, 17H844</t>
        </is>
      </c>
      <c r="F67" t="inlineStr">
        <is>
          <t>1</t>
        </is>
      </c>
      <c r="G67" s="25" t="inlineStr">
        <is>
          <t>Consumable</t>
        </is>
      </c>
      <c r="H67" s="24" t="inlineStr">
        <is>
          <t>Pump wear/service part - consumed at service interval</t>
        </is>
      </c>
      <c r="I67" t="inlineStr">
        <is>
          <t>Anand</t>
        </is>
      </c>
      <c r="J67" t="inlineStr">
        <is>
          <t>Buy in US</t>
        </is>
      </c>
      <c r="K67" t="inlineStr">
        <is>
          <t>No</t>
        </is>
      </c>
      <c r="M67" t="inlineStr">
        <is>
          <t>To be purchased</t>
        </is>
      </c>
    </row>
    <row r="68">
      <c r="A68" t="n">
        <v>67</v>
      </c>
      <c r="B68" t="n">
        <v>12</v>
      </c>
      <c r="C68" t="inlineStr">
        <is>
          <t>Actuators</t>
        </is>
      </c>
      <c r="D68" t="inlineStr">
        <is>
          <t>12-C Pumps &amp; Pump Repair Kits</t>
        </is>
      </c>
      <c r="E68" s="24" t="inlineStr">
        <is>
          <t>Repair Kit - Graco Foot Valve, 24N013</t>
        </is>
      </c>
      <c r="F68" t="inlineStr">
        <is>
          <t>1</t>
        </is>
      </c>
      <c r="G68" s="25" t="inlineStr">
        <is>
          <t>Consumable</t>
        </is>
      </c>
      <c r="H68" s="24" t="inlineStr">
        <is>
          <t>Pump wear/service part - consumed at service interval</t>
        </is>
      </c>
      <c r="I68" t="inlineStr">
        <is>
          <t>Anand</t>
        </is>
      </c>
      <c r="J68" t="inlineStr">
        <is>
          <t>Buy in US</t>
        </is>
      </c>
      <c r="K68" t="inlineStr">
        <is>
          <t>No</t>
        </is>
      </c>
      <c r="M68" t="inlineStr">
        <is>
          <t>To be purchased</t>
        </is>
      </c>
    </row>
    <row r="69">
      <c r="A69" t="n">
        <v>68</v>
      </c>
      <c r="B69" t="n">
        <v>12</v>
      </c>
      <c r="C69" t="inlineStr">
        <is>
          <t>Actuators</t>
        </is>
      </c>
      <c r="D69" t="inlineStr">
        <is>
          <t>12-C Pumps &amp; Pump Repair Kits</t>
        </is>
      </c>
      <c r="E69" s="24" t="inlineStr">
        <is>
          <t>Repair Kit - Graco Mark X Drain Valve, 245103</t>
        </is>
      </c>
      <c r="F69" t="inlineStr">
        <is>
          <t>1</t>
        </is>
      </c>
      <c r="G69" s="25" t="inlineStr">
        <is>
          <t>Consumable</t>
        </is>
      </c>
      <c r="H69" s="24" t="inlineStr">
        <is>
          <t>Pump wear/service part - consumed at service interval</t>
        </is>
      </c>
      <c r="I69" t="inlineStr">
        <is>
          <t>Anand</t>
        </is>
      </c>
      <c r="J69" t="inlineStr">
        <is>
          <t>Buy in US</t>
        </is>
      </c>
      <c r="K69" t="inlineStr">
        <is>
          <t>No</t>
        </is>
      </c>
      <c r="M69" t="inlineStr">
        <is>
          <t>To be purchased</t>
        </is>
      </c>
    </row>
    <row r="70">
      <c r="A70" t="n">
        <v>69</v>
      </c>
      <c r="B70" t="n">
        <v>12</v>
      </c>
      <c r="C70" t="inlineStr">
        <is>
          <t>Actuators</t>
        </is>
      </c>
      <c r="D70" t="inlineStr">
        <is>
          <t>12-C Pumps &amp; Pump Repair Kits</t>
        </is>
      </c>
      <c r="E70" s="24" t="inlineStr">
        <is>
          <t>Strainer - Pump Inlet, Graco 189920</t>
        </is>
      </c>
      <c r="F70" t="inlineStr">
        <is>
          <t>1</t>
        </is>
      </c>
      <c r="G70" s="25" t="inlineStr">
        <is>
          <t>Consumable</t>
        </is>
      </c>
      <c r="H70" s="24" t="inlineStr">
        <is>
          <t>Pump wear/service part - consumed at service interval</t>
        </is>
      </c>
      <c r="I70" t="inlineStr">
        <is>
          <t>Anand</t>
        </is>
      </c>
      <c r="J70" t="inlineStr">
        <is>
          <t>Buy in US</t>
        </is>
      </c>
      <c r="K70" t="inlineStr">
        <is>
          <t>No</t>
        </is>
      </c>
      <c r="M70" t="inlineStr">
        <is>
          <t>To be purchased</t>
        </is>
      </c>
    </row>
    <row r="71">
      <c r="A71" t="n">
        <v>70</v>
      </c>
      <c r="B71" t="n">
        <v>12</v>
      </c>
      <c r="C71" t="inlineStr">
        <is>
          <t>Actuators</t>
        </is>
      </c>
      <c r="D71" t="inlineStr">
        <is>
          <t>12-C Pumps &amp; Pump Repair Kits</t>
        </is>
      </c>
      <c r="E71" s="24" t="inlineStr">
        <is>
          <t>Valve - Foot, Graco 15A303</t>
        </is>
      </c>
      <c r="F71" t="inlineStr">
        <is>
          <t>1</t>
        </is>
      </c>
      <c r="G71" s="26" t="inlineStr">
        <is>
          <t>Not consumable</t>
        </is>
      </c>
      <c r="H71" s="24" t="inlineStr">
        <is>
          <t>Pump spare component (durable)</t>
        </is>
      </c>
      <c r="I71" t="inlineStr">
        <is>
          <t>Anand</t>
        </is>
      </c>
      <c r="J71" t="inlineStr">
        <is>
          <t>Buy in US</t>
        </is>
      </c>
      <c r="K71" t="inlineStr">
        <is>
          <t>No</t>
        </is>
      </c>
      <c r="M71" t="inlineStr">
        <is>
          <t>To be purchased</t>
        </is>
      </c>
    </row>
    <row r="72">
      <c r="A72" t="n">
        <v>71</v>
      </c>
      <c r="B72" t="n">
        <v>12</v>
      </c>
      <c r="C72" t="inlineStr">
        <is>
          <t>Actuators</t>
        </is>
      </c>
      <c r="D72" t="inlineStr">
        <is>
          <t>12-C Pumps &amp; Pump Repair Kits</t>
        </is>
      </c>
      <c r="E72" s="24" t="inlineStr">
        <is>
          <t>O-Ring - Foot Valve to Ball Seat, Graco 17E793</t>
        </is>
      </c>
      <c r="F72" t="inlineStr">
        <is>
          <t>1</t>
        </is>
      </c>
      <c r="G72" s="25" t="inlineStr">
        <is>
          <t>Consumable</t>
        </is>
      </c>
      <c r="H72" s="24" t="inlineStr">
        <is>
          <t>Pump wear/service part - consumed at service interval</t>
        </is>
      </c>
      <c r="I72" t="inlineStr">
        <is>
          <t>Anand</t>
        </is>
      </c>
      <c r="J72" t="inlineStr">
        <is>
          <t>Buy in US</t>
        </is>
      </c>
      <c r="K72" t="inlineStr">
        <is>
          <t>No</t>
        </is>
      </c>
      <c r="M72" t="inlineStr">
        <is>
          <t>To be purchased</t>
        </is>
      </c>
    </row>
    <row r="73">
      <c r="A73" t="n">
        <v>72</v>
      </c>
      <c r="B73" t="n">
        <v>12</v>
      </c>
      <c r="C73" t="inlineStr">
        <is>
          <t>Actuators</t>
        </is>
      </c>
      <c r="D73" t="inlineStr">
        <is>
          <t>12-C Pumps &amp; Pump Repair Kits</t>
        </is>
      </c>
      <c r="E73" s="24" t="inlineStr">
        <is>
          <t>Ball Seat - Pump Inlet</t>
        </is>
      </c>
      <c r="F73" t="inlineStr">
        <is>
          <t>1</t>
        </is>
      </c>
      <c r="G73" s="25" t="inlineStr">
        <is>
          <t>Consumable</t>
        </is>
      </c>
      <c r="H73" s="24" t="inlineStr">
        <is>
          <t>Pump wear/service part - consumed at service interval</t>
        </is>
      </c>
      <c r="I73" t="inlineStr">
        <is>
          <t>Anand</t>
        </is>
      </c>
      <c r="J73" t="inlineStr">
        <is>
          <t>Buy in US</t>
        </is>
      </c>
      <c r="K73" t="inlineStr">
        <is>
          <t>No</t>
        </is>
      </c>
      <c r="M73" t="inlineStr">
        <is>
          <t>To be purchased</t>
        </is>
      </c>
    </row>
    <row r="74">
      <c r="A74" t="n">
        <v>73</v>
      </c>
      <c r="B74" t="n">
        <v>12</v>
      </c>
      <c r="C74" t="inlineStr">
        <is>
          <t>Actuators</t>
        </is>
      </c>
      <c r="D74" t="inlineStr">
        <is>
          <t>12-C Pumps &amp; Pump Repair Kits</t>
        </is>
      </c>
      <c r="E74" s="24" t="inlineStr">
        <is>
          <t>Check Ball - Pump Inlet, Ceramic, Graco 17R046</t>
        </is>
      </c>
      <c r="F74" t="inlineStr">
        <is>
          <t>1</t>
        </is>
      </c>
      <c r="G74" s="25" t="inlineStr">
        <is>
          <t>Consumable</t>
        </is>
      </c>
      <c r="H74" s="24" t="inlineStr">
        <is>
          <t>Pump wear/service part - consumed at service interval</t>
        </is>
      </c>
      <c r="I74" t="inlineStr">
        <is>
          <t>Anand</t>
        </is>
      </c>
      <c r="J74" t="inlineStr">
        <is>
          <t>Buy in US</t>
        </is>
      </c>
      <c r="K74" t="inlineStr">
        <is>
          <t>No</t>
        </is>
      </c>
      <c r="M74" t="inlineStr">
        <is>
          <t>To be purchased</t>
        </is>
      </c>
    </row>
    <row r="75">
      <c r="A75" t="n">
        <v>74</v>
      </c>
      <c r="B75" t="n">
        <v>12</v>
      </c>
      <c r="C75" t="inlineStr">
        <is>
          <t>Actuators</t>
        </is>
      </c>
      <c r="D75" t="inlineStr">
        <is>
          <t>12-C Pumps &amp; Pump Repair Kits</t>
        </is>
      </c>
      <c r="E75" s="24" t="inlineStr">
        <is>
          <t>Ball Guide - Graco 193391</t>
        </is>
      </c>
      <c r="F75" t="inlineStr">
        <is>
          <t>1</t>
        </is>
      </c>
      <c r="G75" s="26" t="inlineStr">
        <is>
          <t>Not consumable</t>
        </is>
      </c>
      <c r="H75" s="24" t="inlineStr">
        <is>
          <t>Pump spare component (durable)</t>
        </is>
      </c>
      <c r="I75" t="inlineStr">
        <is>
          <t>Anand</t>
        </is>
      </c>
      <c r="J75" t="inlineStr">
        <is>
          <t>Buy in US</t>
        </is>
      </c>
      <c r="K75" t="inlineStr">
        <is>
          <t>No</t>
        </is>
      </c>
      <c r="M75" t="inlineStr">
        <is>
          <t>To be purchased</t>
        </is>
      </c>
    </row>
    <row r="76">
      <c r="A76" t="n">
        <v>75</v>
      </c>
      <c r="B76" t="n">
        <v>12</v>
      </c>
      <c r="C76" t="inlineStr">
        <is>
          <t>Actuators</t>
        </is>
      </c>
      <c r="D76" t="inlineStr">
        <is>
          <t>12-C Pumps &amp; Pump Repair Kits</t>
        </is>
      </c>
      <c r="E76" s="24" t="inlineStr">
        <is>
          <t>Spring - Inlet Ball, Graco 24E027</t>
        </is>
      </c>
      <c r="F76" t="inlineStr">
        <is>
          <t>1</t>
        </is>
      </c>
      <c r="G76" s="25" t="inlineStr">
        <is>
          <t>Consumable</t>
        </is>
      </c>
      <c r="H76" s="24" t="inlineStr">
        <is>
          <t>Pump wear/service part - consumed at service interval</t>
        </is>
      </c>
      <c r="I76" t="inlineStr">
        <is>
          <t>Anand</t>
        </is>
      </c>
      <c r="J76" t="inlineStr">
        <is>
          <t>Buy in US</t>
        </is>
      </c>
      <c r="K76" t="inlineStr">
        <is>
          <t>No</t>
        </is>
      </c>
      <c r="M76" t="inlineStr">
        <is>
          <t>To be purchased</t>
        </is>
      </c>
    </row>
    <row r="77">
      <c r="A77" t="n">
        <v>76</v>
      </c>
      <c r="B77" t="n">
        <v>12</v>
      </c>
      <c r="C77" t="inlineStr">
        <is>
          <t>Actuators</t>
        </is>
      </c>
      <c r="D77" t="inlineStr">
        <is>
          <t>12-C Pumps &amp; Pump Repair Kits</t>
        </is>
      </c>
      <c r="E77" s="24" t="inlineStr">
        <is>
          <t>O-Ring - Pump Stem to Foot Valve, Graco 160325</t>
        </is>
      </c>
      <c r="F77" t="inlineStr">
        <is>
          <t>1</t>
        </is>
      </c>
      <c r="G77" s="25" t="inlineStr">
        <is>
          <t>Consumable</t>
        </is>
      </c>
      <c r="H77" s="24" t="inlineStr">
        <is>
          <t>Pump wear/service part - consumed at service interval</t>
        </is>
      </c>
      <c r="I77" t="inlineStr">
        <is>
          <t>Anand</t>
        </is>
      </c>
      <c r="J77" t="inlineStr">
        <is>
          <t>Buy in US</t>
        </is>
      </c>
      <c r="K77" t="inlineStr">
        <is>
          <t>No</t>
        </is>
      </c>
      <c r="M77" t="inlineStr">
        <is>
          <t>To be purchased</t>
        </is>
      </c>
    </row>
    <row r="78">
      <c r="A78" t="n">
        <v>77</v>
      </c>
      <c r="B78" t="n">
        <v>12</v>
      </c>
      <c r="C78" t="inlineStr">
        <is>
          <t>Actuators</t>
        </is>
      </c>
      <c r="D78" t="inlineStr">
        <is>
          <t>12-C Pumps &amp; Pump Repair Kits</t>
        </is>
      </c>
      <c r="E78" s="24" t="inlineStr">
        <is>
          <t>Hose - Pump Drain, Graco 244240</t>
        </is>
      </c>
      <c r="F78" t="inlineStr">
        <is>
          <t>1</t>
        </is>
      </c>
      <c r="G78" s="26" t="inlineStr">
        <is>
          <t>Not consumable</t>
        </is>
      </c>
      <c r="H78" s="24" t="inlineStr">
        <is>
          <t>Pump spare component (durable)</t>
        </is>
      </c>
      <c r="I78" t="inlineStr">
        <is>
          <t>Anand</t>
        </is>
      </c>
      <c r="J78" t="inlineStr">
        <is>
          <t>India</t>
        </is>
      </c>
      <c r="K78" t="inlineStr">
        <is>
          <t>No</t>
        </is>
      </c>
      <c r="M78" t="inlineStr">
        <is>
          <t>In stock</t>
        </is>
      </c>
    </row>
    <row r="79">
      <c r="A79" t="n">
        <v>78</v>
      </c>
      <c r="B79" t="n">
        <v>12</v>
      </c>
      <c r="C79" t="inlineStr">
        <is>
          <t>Actuators</t>
        </is>
      </c>
      <c r="D79" t="inlineStr">
        <is>
          <t>12-C Pumps &amp; Pump Repair Kits</t>
        </is>
      </c>
      <c r="E79" s="24" t="inlineStr">
        <is>
          <t>Swivel - Tee, Graco 127518</t>
        </is>
      </c>
      <c r="F79" t="inlineStr">
        <is>
          <t>1</t>
        </is>
      </c>
      <c r="G79" s="26" t="inlineStr">
        <is>
          <t>Not consumable</t>
        </is>
      </c>
      <c r="H79" s="24" t="inlineStr">
        <is>
          <t>Pump spare component (durable)</t>
        </is>
      </c>
      <c r="I79" t="inlineStr">
        <is>
          <t>Anand</t>
        </is>
      </c>
      <c r="J79" t="inlineStr">
        <is>
          <t>Buy in US</t>
        </is>
      </c>
      <c r="K79" t="inlineStr">
        <is>
          <t>No</t>
        </is>
      </c>
      <c r="M79" t="inlineStr">
        <is>
          <t>To be purchased</t>
        </is>
      </c>
    </row>
    <row r="80">
      <c r="A80" t="n">
        <v>79</v>
      </c>
      <c r="B80" t="n">
        <v>12</v>
      </c>
      <c r="C80" t="inlineStr">
        <is>
          <t>Actuators</t>
        </is>
      </c>
      <c r="D80" t="inlineStr">
        <is>
          <t>12-C Pumps &amp; Pump Repair Kits</t>
        </is>
      </c>
      <c r="E80" s="24" t="inlineStr">
        <is>
          <t>Fitting - NPT Male to NPT Male Elbow, 3/8 in, Graco 121019</t>
        </is>
      </c>
      <c r="F80" t="inlineStr">
        <is>
          <t>1</t>
        </is>
      </c>
      <c r="G80" s="26" t="inlineStr">
        <is>
          <t>Not consumable</t>
        </is>
      </c>
      <c r="H80" s="24" t="inlineStr">
        <is>
          <t>Pump spare component (durable)</t>
        </is>
      </c>
      <c r="I80" t="inlineStr">
        <is>
          <t>Anand</t>
        </is>
      </c>
      <c r="J80" t="inlineStr">
        <is>
          <t>India</t>
        </is>
      </c>
      <c r="K80" t="inlineStr">
        <is>
          <t>No</t>
        </is>
      </c>
      <c r="M80" t="inlineStr">
        <is>
          <t>In stock</t>
        </is>
      </c>
    </row>
    <row r="81">
      <c r="A81" t="n">
        <v>80</v>
      </c>
      <c r="B81" t="n">
        <v>12</v>
      </c>
      <c r="C81" t="inlineStr">
        <is>
          <t>Actuators</t>
        </is>
      </c>
      <c r="D81" t="inlineStr">
        <is>
          <t>12-C Pumps &amp; Pump Repair Kits</t>
        </is>
      </c>
      <c r="E81" s="24" t="inlineStr">
        <is>
          <t>Gauge - Pressure, Graco 115523</t>
        </is>
      </c>
      <c r="F81" t="inlineStr">
        <is>
          <t>1</t>
        </is>
      </c>
      <c r="G81" s="26" t="inlineStr">
        <is>
          <t>Not consumable</t>
        </is>
      </c>
      <c r="H81" s="24" t="inlineStr">
        <is>
          <t>Pump spare component (durable)</t>
        </is>
      </c>
      <c r="I81" t="inlineStr">
        <is>
          <t>Anand</t>
        </is>
      </c>
      <c r="J81" t="inlineStr">
        <is>
          <t>Buy in US</t>
        </is>
      </c>
      <c r="K81" t="inlineStr">
        <is>
          <t>No</t>
        </is>
      </c>
      <c r="M81" t="inlineStr">
        <is>
          <t>To be purchased</t>
        </is>
      </c>
    </row>
    <row r="82">
      <c r="A82" t="n">
        <v>81</v>
      </c>
      <c r="B82" t="n">
        <v>12</v>
      </c>
      <c r="C82" t="inlineStr">
        <is>
          <t>Actuators</t>
        </is>
      </c>
      <c r="D82" t="inlineStr">
        <is>
          <t>12-C Pumps &amp; Pump Repair Kits</t>
        </is>
      </c>
      <c r="E82" s="24" t="inlineStr">
        <is>
          <t>Fan - Pump Motor, Graco 15V577</t>
        </is>
      </c>
      <c r="F82" t="inlineStr">
        <is>
          <t>1</t>
        </is>
      </c>
      <c r="G82" s="26" t="inlineStr">
        <is>
          <t>Not consumable</t>
        </is>
      </c>
      <c r="H82" s="24" t="inlineStr">
        <is>
          <t>Pump spare component (durable)</t>
        </is>
      </c>
      <c r="I82" t="inlineStr">
        <is>
          <t>Anand</t>
        </is>
      </c>
      <c r="J82" t="inlineStr">
        <is>
          <t>Buy in US</t>
        </is>
      </c>
      <c r="K82" t="inlineStr">
        <is>
          <t>No</t>
        </is>
      </c>
      <c r="M82" t="inlineStr">
        <is>
          <t>To be purchased</t>
        </is>
      </c>
    </row>
    <row r="83">
      <c r="A83" t="n">
        <v>82</v>
      </c>
      <c r="B83" t="n">
        <v>12</v>
      </c>
      <c r="C83" t="inlineStr">
        <is>
          <t>Actuators</t>
        </is>
      </c>
      <c r="D83" t="inlineStr">
        <is>
          <t>12-C Pumps &amp; Pump Repair Kits</t>
        </is>
      </c>
      <c r="E83" s="24" t="inlineStr">
        <is>
          <t>Clip - Pump Motor Fan Retainer, Graco 122347</t>
        </is>
      </c>
      <c r="F83" t="inlineStr">
        <is>
          <t>1</t>
        </is>
      </c>
      <c r="G83" s="26" t="inlineStr">
        <is>
          <t>Not consumable</t>
        </is>
      </c>
      <c r="H83" s="24" t="inlineStr">
        <is>
          <t>Pump spare component (durable)</t>
        </is>
      </c>
      <c r="I83" t="inlineStr">
        <is>
          <t>Anand</t>
        </is>
      </c>
      <c r="J83" t="inlineStr">
        <is>
          <t>Buy in US</t>
        </is>
      </c>
      <c r="K83" t="inlineStr">
        <is>
          <t>No</t>
        </is>
      </c>
      <c r="M83" t="inlineStr">
        <is>
          <t>To be purchased</t>
        </is>
      </c>
    </row>
    <row r="84">
      <c r="A84" t="n">
        <v>83</v>
      </c>
      <c r="B84" t="n">
        <v>12</v>
      </c>
      <c r="C84" t="inlineStr">
        <is>
          <t>Actuators</t>
        </is>
      </c>
      <c r="D84" t="inlineStr">
        <is>
          <t>12-C Pumps &amp; Pump Repair Kits</t>
        </is>
      </c>
      <c r="E84" s="24" t="inlineStr">
        <is>
          <t>Gasket - Pump Bottom, Polyethylene, Graco 114134</t>
        </is>
      </c>
      <c r="F84" t="inlineStr">
        <is>
          <t>1</t>
        </is>
      </c>
      <c r="G84" s="25" t="inlineStr">
        <is>
          <t>Consumable</t>
        </is>
      </c>
      <c r="H84" s="24" t="inlineStr">
        <is>
          <t>Pump wear/service part - consumed at service interval</t>
        </is>
      </c>
      <c r="I84" t="inlineStr">
        <is>
          <t>Anand</t>
        </is>
      </c>
      <c r="J84" t="inlineStr">
        <is>
          <t>India</t>
        </is>
      </c>
      <c r="K84" t="inlineStr">
        <is>
          <t>No</t>
        </is>
      </c>
      <c r="M84" t="inlineStr">
        <is>
          <t>In stock</t>
        </is>
      </c>
    </row>
    <row r="85">
      <c r="A85" t="n">
        <v>84</v>
      </c>
      <c r="B85" t="n">
        <v>12</v>
      </c>
      <c r="C85" t="inlineStr">
        <is>
          <t>Actuators</t>
        </is>
      </c>
      <c r="D85" t="inlineStr">
        <is>
          <t>12-C Pumps &amp; Pump Repair Kits</t>
        </is>
      </c>
      <c r="E85" s="24" t="inlineStr">
        <is>
          <t>Gasket - Fluid, Acetal Homopolymer, Graco 288200</t>
        </is>
      </c>
      <c r="F85" t="inlineStr">
        <is>
          <t>1</t>
        </is>
      </c>
      <c r="G85" s="25" t="inlineStr">
        <is>
          <t>Consumable</t>
        </is>
      </c>
      <c r="H85" s="24" t="inlineStr">
        <is>
          <t>Pump wear/service part - consumed at service interval</t>
        </is>
      </c>
      <c r="I85" t="inlineStr">
        <is>
          <t>Anand</t>
        </is>
      </c>
      <c r="J85" t="inlineStr">
        <is>
          <t>Buy in US</t>
        </is>
      </c>
      <c r="K85" t="inlineStr">
        <is>
          <t>No</t>
        </is>
      </c>
      <c r="M85" t="inlineStr">
        <is>
          <t>To be purchased</t>
        </is>
      </c>
    </row>
    <row r="86">
      <c r="A86" t="n">
        <v>85</v>
      </c>
      <c r="B86" t="n">
        <v>12</v>
      </c>
      <c r="C86" t="inlineStr">
        <is>
          <t>Actuators</t>
        </is>
      </c>
      <c r="D86" t="inlineStr">
        <is>
          <t>12-C Pumps &amp; Pump Repair Kits</t>
        </is>
      </c>
      <c r="E86" s="24" t="inlineStr">
        <is>
          <t>Gasket - Diffuser Valve, Graco 189970</t>
        </is>
      </c>
      <c r="F86" t="inlineStr">
        <is>
          <t>1</t>
        </is>
      </c>
      <c r="G86" s="25" t="inlineStr">
        <is>
          <t>Consumable</t>
        </is>
      </c>
      <c r="H86" s="24" t="inlineStr">
        <is>
          <t>Pump wear/service part - consumed at service interval</t>
        </is>
      </c>
      <c r="I86" t="inlineStr">
        <is>
          <t>Anand</t>
        </is>
      </c>
      <c r="J86" t="inlineStr">
        <is>
          <t>Buy in US</t>
        </is>
      </c>
      <c r="K86" t="inlineStr">
        <is>
          <t>No</t>
        </is>
      </c>
      <c r="M86" t="inlineStr">
        <is>
          <t>To be purchased</t>
        </is>
      </c>
    </row>
    <row r="87">
      <c r="A87" t="n">
        <v>86</v>
      </c>
      <c r="B87" t="n">
        <v>12</v>
      </c>
      <c r="C87" t="inlineStr">
        <is>
          <t>Actuators</t>
        </is>
      </c>
      <c r="D87" t="inlineStr">
        <is>
          <t>12-C Pumps &amp; Pump Repair Kits</t>
        </is>
      </c>
      <c r="E87" s="24" t="inlineStr">
        <is>
          <t>Diffuser - Graco 288196</t>
        </is>
      </c>
      <c r="F87" t="inlineStr">
        <is>
          <t>1</t>
        </is>
      </c>
      <c r="G87" s="25" t="inlineStr">
        <is>
          <t>Consumable</t>
        </is>
      </c>
      <c r="H87" s="24" t="inlineStr">
        <is>
          <t>Pump wear/service part - consumed at service interval</t>
        </is>
      </c>
      <c r="I87" t="inlineStr">
        <is>
          <t>Anand</t>
        </is>
      </c>
      <c r="J87" t="inlineStr">
        <is>
          <t>Buy in US</t>
        </is>
      </c>
      <c r="K87" t="inlineStr">
        <is>
          <t>No</t>
        </is>
      </c>
      <c r="M87" t="inlineStr">
        <is>
          <t>To be purchased</t>
        </is>
      </c>
    </row>
    <row r="88">
      <c r="A88" t="n">
        <v>87</v>
      </c>
      <c r="B88" t="n">
        <v>12</v>
      </c>
      <c r="C88" t="inlineStr">
        <is>
          <t>Actuators</t>
        </is>
      </c>
      <c r="D88" t="inlineStr">
        <is>
          <t>12-C Pumps &amp; Pump Repair Kits</t>
        </is>
      </c>
      <c r="E88" s="24" t="inlineStr">
        <is>
          <t>Spring - Compression, Small, Graco 114138</t>
        </is>
      </c>
      <c r="F88" t="inlineStr">
        <is>
          <t>1</t>
        </is>
      </c>
      <c r="G88" s="25" t="inlineStr">
        <is>
          <t>Consumable</t>
        </is>
      </c>
      <c r="H88" s="24" t="inlineStr">
        <is>
          <t>Pump wear/service part - consumed at service interval</t>
        </is>
      </c>
      <c r="I88" t="inlineStr">
        <is>
          <t>Anand</t>
        </is>
      </c>
      <c r="J88" t="inlineStr">
        <is>
          <t>Buy in US</t>
        </is>
      </c>
      <c r="K88" t="inlineStr">
        <is>
          <t>No</t>
        </is>
      </c>
      <c r="M88" t="inlineStr">
        <is>
          <t>To be purchased</t>
        </is>
      </c>
    </row>
    <row r="89">
      <c r="A89" t="n">
        <v>88</v>
      </c>
      <c r="B89" t="n">
        <v>12</v>
      </c>
      <c r="C89" t="inlineStr">
        <is>
          <t>Actuators</t>
        </is>
      </c>
      <c r="D89" t="inlineStr">
        <is>
          <t>12-C Pumps &amp; Pump Repair Kits</t>
        </is>
      </c>
      <c r="E89" s="24" t="inlineStr">
        <is>
          <t>Spring - Compression, Large, Graco 114139</t>
        </is>
      </c>
      <c r="F89" t="inlineStr">
        <is>
          <t>1</t>
        </is>
      </c>
      <c r="G89" s="25" t="inlineStr">
        <is>
          <t>Consumable</t>
        </is>
      </c>
      <c r="H89" s="24" t="inlineStr">
        <is>
          <t>Pump wear/service part - consumed at service interval</t>
        </is>
      </c>
      <c r="I89" t="inlineStr">
        <is>
          <t>Anand</t>
        </is>
      </c>
      <c r="J89" t="inlineStr">
        <is>
          <t>Buy in US</t>
        </is>
      </c>
      <c r="K89" t="inlineStr">
        <is>
          <t>No</t>
        </is>
      </c>
      <c r="M89" t="inlineStr">
        <is>
          <t>To be purchased</t>
        </is>
      </c>
    </row>
    <row r="90">
      <c r="A90" t="n">
        <v>89</v>
      </c>
      <c r="B90" t="n">
        <v>12</v>
      </c>
      <c r="C90" t="inlineStr">
        <is>
          <t>Actuators</t>
        </is>
      </c>
      <c r="D90" t="inlineStr">
        <is>
          <t>12-D Valves &amp; Solenoids</t>
        </is>
      </c>
      <c r="E90" s="24" t="inlineStr">
        <is>
          <t>Valve - One-Way Flow Control, 3/8 in to 8 mm (GRLA-3/8-QS-8-D) - 5/2 exhaust</t>
        </is>
      </c>
      <c r="F90" t="inlineStr">
        <is>
          <t>2</t>
        </is>
      </c>
      <c r="G90" s="26" t="inlineStr">
        <is>
          <t>Not consumable</t>
        </is>
      </c>
      <c r="H90" s="24" t="inlineStr">
        <is>
          <t>Durable equipment / spare component</t>
        </is>
      </c>
      <c r="I90" t="inlineStr">
        <is>
          <t>Anand</t>
        </is>
      </c>
      <c r="J90" t="inlineStr">
        <is>
          <t>India</t>
        </is>
      </c>
      <c r="K90" t="inlineStr">
        <is>
          <t>No</t>
        </is>
      </c>
      <c r="L90" t="inlineStr">
        <is>
          <t>PR-2026-1561</t>
        </is>
      </c>
      <c r="M90" t="inlineStr">
        <is>
          <t>Payment Done</t>
        </is>
      </c>
    </row>
    <row r="91">
      <c r="A91" t="n">
        <v>90</v>
      </c>
      <c r="B91" t="n">
        <v>12</v>
      </c>
      <c r="C91" t="inlineStr">
        <is>
          <t>Actuators</t>
        </is>
      </c>
      <c r="D91" t="inlineStr">
        <is>
          <t>12-D Valves &amp; Solenoids</t>
        </is>
      </c>
      <c r="E91" s="24" t="inlineStr">
        <is>
          <t>Valve - 5/2 Pneumatic, VUVS-L30-M52-AD-G38-F8</t>
        </is>
      </c>
      <c r="F91" t="inlineStr">
        <is>
          <t>1</t>
        </is>
      </c>
      <c r="G91" s="26" t="inlineStr">
        <is>
          <t>Not consumable</t>
        </is>
      </c>
      <c r="H91" s="24" t="inlineStr">
        <is>
          <t>Durable equipment / spare component</t>
        </is>
      </c>
      <c r="I91" t="inlineStr">
        <is>
          <t>Anand</t>
        </is>
      </c>
      <c r="J91" t="inlineStr">
        <is>
          <t>India</t>
        </is>
      </c>
      <c r="K91" t="inlineStr">
        <is>
          <t>No</t>
        </is>
      </c>
      <c r="M91" t="inlineStr">
        <is>
          <t>In stock</t>
        </is>
      </c>
    </row>
    <row r="92">
      <c r="A92" t="n">
        <v>91</v>
      </c>
      <c r="B92" t="n">
        <v>12</v>
      </c>
      <c r="C92" t="inlineStr">
        <is>
          <t>Actuators</t>
        </is>
      </c>
      <c r="D92" t="inlineStr">
        <is>
          <t>12-D Valves &amp; Solenoids</t>
        </is>
      </c>
      <c r="E92" s="24" t="inlineStr">
        <is>
          <t>Valve - 2/2 Pneumatic, E12612W</t>
        </is>
      </c>
      <c r="F92" t="inlineStr">
        <is>
          <t>1</t>
        </is>
      </c>
      <c r="G92" s="26" t="inlineStr">
        <is>
          <t>Not consumable</t>
        </is>
      </c>
      <c r="H92" s="24" t="inlineStr">
        <is>
          <t>Durable equipment / spare component</t>
        </is>
      </c>
      <c r="I92" t="inlineStr">
        <is>
          <t>Anand</t>
        </is>
      </c>
      <c r="J92" t="inlineStr">
        <is>
          <t>India</t>
        </is>
      </c>
      <c r="K92" t="inlineStr">
        <is>
          <t>No</t>
        </is>
      </c>
      <c r="M92" t="inlineStr">
        <is>
          <t>In stock</t>
        </is>
      </c>
    </row>
    <row r="93">
      <c r="A93" t="n">
        <v>92</v>
      </c>
      <c r="B93" t="n">
        <v>12</v>
      </c>
      <c r="C93" t="inlineStr">
        <is>
          <t>Actuators</t>
        </is>
      </c>
      <c r="D93" t="inlineStr">
        <is>
          <t>12-D Valves &amp; Solenoids</t>
        </is>
      </c>
      <c r="E93" s="24" t="inlineStr">
        <is>
          <t>Valve - 3/2 Pneumatic with 24 V Solenoid, DS245SR61</t>
        </is>
      </c>
      <c r="F93" t="inlineStr">
        <is>
          <t>1</t>
        </is>
      </c>
      <c r="G93" s="26" t="inlineStr">
        <is>
          <t>Not consumable</t>
        </is>
      </c>
      <c r="H93" s="24" t="inlineStr">
        <is>
          <t>Durable equipment / spare component</t>
        </is>
      </c>
      <c r="I93" t="inlineStr">
        <is>
          <t>Anand</t>
        </is>
      </c>
      <c r="J93" t="inlineStr">
        <is>
          <t>India</t>
        </is>
      </c>
      <c r="K93" t="inlineStr">
        <is>
          <t>Yes</t>
        </is>
      </c>
      <c r="L93" t="inlineStr">
        <is>
          <t>PR-2026-1566</t>
        </is>
      </c>
      <c r="M93" t="inlineStr">
        <is>
          <t>Payment Done</t>
        </is>
      </c>
    </row>
    <row r="94">
      <c r="A94" t="n">
        <v>93</v>
      </c>
      <c r="B94" t="n">
        <v>12</v>
      </c>
      <c r="C94" t="inlineStr">
        <is>
          <t>Actuators</t>
        </is>
      </c>
      <c r="D94" t="inlineStr">
        <is>
          <t>12-D Valves &amp; Solenoids</t>
        </is>
      </c>
      <c r="E94" s="24" t="inlineStr">
        <is>
          <t>Solenoid - for 5/2 Valve, VACF-B-C1-1</t>
        </is>
      </c>
      <c r="F94" t="inlineStr">
        <is>
          <t>1</t>
        </is>
      </c>
      <c r="G94" s="26" t="inlineStr">
        <is>
          <t>Not consumable</t>
        </is>
      </c>
      <c r="H94" s="24" t="inlineStr">
        <is>
          <t>Durable equipment / spare component</t>
        </is>
      </c>
      <c r="I94" t="inlineStr">
        <is>
          <t>Anand</t>
        </is>
      </c>
      <c r="J94" t="inlineStr">
        <is>
          <t>India</t>
        </is>
      </c>
      <c r="K94" t="inlineStr">
        <is>
          <t>No</t>
        </is>
      </c>
      <c r="M94" t="inlineStr">
        <is>
          <t>In stock</t>
        </is>
      </c>
    </row>
    <row r="95">
      <c r="A95" t="n">
        <v>94</v>
      </c>
      <c r="B95" t="n">
        <v>12</v>
      </c>
      <c r="C95" t="inlineStr">
        <is>
          <t>Actuators</t>
        </is>
      </c>
      <c r="D95" t="inlineStr">
        <is>
          <t>12-E Pneumatic Fittings &amp; Hose</t>
        </is>
      </c>
      <c r="E95" s="24" t="inlineStr">
        <is>
          <t>Hose - Pneumatic, 6 mm OD, WH00B06</t>
        </is>
      </c>
      <c r="F95" t="inlineStr">
        <is>
          <t>30ft</t>
        </is>
      </c>
      <c r="G95" s="27" t="inlineStr">
        <is>
          <t>Borderline</t>
        </is>
      </c>
      <c r="H95" s="24" t="inlineStr">
        <is>
          <t>Bulk stock issued by length - consumable-class in inventory, not used up per se</t>
        </is>
      </c>
      <c r="I95" t="inlineStr">
        <is>
          <t>Anand</t>
        </is>
      </c>
      <c r="J95" t="inlineStr">
        <is>
          <t>India</t>
        </is>
      </c>
      <c r="K95" t="inlineStr">
        <is>
          <t>No</t>
        </is>
      </c>
      <c r="M95" t="inlineStr">
        <is>
          <t>In stock</t>
        </is>
      </c>
      <c r="N95" t="inlineStr">
        <is>
          <t>Mobile (travels with robot)</t>
        </is>
      </c>
    </row>
    <row r="96">
      <c r="A96" t="n">
        <v>95</v>
      </c>
      <c r="B96" t="n">
        <v>12</v>
      </c>
      <c r="C96" t="inlineStr">
        <is>
          <t>Actuators</t>
        </is>
      </c>
      <c r="D96" t="inlineStr">
        <is>
          <t>12-E Pneumatic Fittings &amp; Hose</t>
        </is>
      </c>
      <c r="E96" s="24" t="inlineStr">
        <is>
          <t>Fitting - Push-In Inline Union, 6 mm (PU-6)</t>
        </is>
      </c>
      <c r="F96" t="inlineStr">
        <is>
          <t>2</t>
        </is>
      </c>
      <c r="G96" s="26" t="inlineStr">
        <is>
          <t>Not consumable</t>
        </is>
      </c>
      <c r="H96" s="24" t="inlineStr">
        <is>
          <t>Durable equipment / spare component</t>
        </is>
      </c>
      <c r="I96" t="inlineStr">
        <is>
          <t>Anand</t>
        </is>
      </c>
      <c r="J96" t="inlineStr">
        <is>
          <t>India</t>
        </is>
      </c>
      <c r="K96" t="inlineStr">
        <is>
          <t>No</t>
        </is>
      </c>
      <c r="M96" t="inlineStr">
        <is>
          <t>In stock</t>
        </is>
      </c>
      <c r="N96" t="inlineStr">
        <is>
          <t>Mobile (travels with robot)</t>
        </is>
      </c>
    </row>
    <row r="97">
      <c r="A97" t="n">
        <v>96</v>
      </c>
      <c r="B97" t="n">
        <v>12</v>
      </c>
      <c r="C97" t="inlineStr">
        <is>
          <t>Actuators</t>
        </is>
      </c>
      <c r="D97" t="inlineStr">
        <is>
          <t>12-E Pneumatic Fittings &amp; Hose</t>
        </is>
      </c>
      <c r="E97" s="24" t="inlineStr">
        <is>
          <t>Fitting - Push-In with Flow Control, 1/8 in to 6 mm (GRLA-1/8-QS-6-RS-D) - piston inlet</t>
        </is>
      </c>
      <c r="F97" t="inlineStr">
        <is>
          <t>8</t>
        </is>
      </c>
      <c r="G97" s="26" t="inlineStr">
        <is>
          <t>Not consumable</t>
        </is>
      </c>
      <c r="H97" s="24" t="inlineStr">
        <is>
          <t>Durable equipment / spare component</t>
        </is>
      </c>
      <c r="I97" t="inlineStr">
        <is>
          <t>Anand</t>
        </is>
      </c>
      <c r="J97" t="inlineStr">
        <is>
          <t>India</t>
        </is>
      </c>
      <c r="K97" t="inlineStr">
        <is>
          <t>No</t>
        </is>
      </c>
      <c r="M97" t="inlineStr">
        <is>
          <t>In stock</t>
        </is>
      </c>
      <c r="N97" t="inlineStr">
        <is>
          <t>Mobile (travels with robot)</t>
        </is>
      </c>
    </row>
    <row r="98">
      <c r="A98" t="n">
        <v>97</v>
      </c>
      <c r="B98" t="n">
        <v>12</v>
      </c>
      <c r="C98" t="inlineStr">
        <is>
          <t>Actuators</t>
        </is>
      </c>
      <c r="D98" t="inlineStr">
        <is>
          <t>12-E Pneumatic Fittings &amp; Hose</t>
        </is>
      </c>
      <c r="E98" s="24" t="inlineStr">
        <is>
          <t>Fitting - Push-In Tee, 6 mm (QST-6)</t>
        </is>
      </c>
      <c r="F98" t="inlineStr">
        <is>
          <t>7</t>
        </is>
      </c>
      <c r="G98" s="26" t="inlineStr">
        <is>
          <t>Not consumable</t>
        </is>
      </c>
      <c r="H98" s="24" t="inlineStr">
        <is>
          <t>Durable equipment / spare component</t>
        </is>
      </c>
      <c r="I98" t="inlineStr">
        <is>
          <t>Anand</t>
        </is>
      </c>
      <c r="J98" t="inlineStr">
        <is>
          <t>India</t>
        </is>
      </c>
      <c r="K98" t="inlineStr">
        <is>
          <t>No</t>
        </is>
      </c>
      <c r="M98" t="inlineStr">
        <is>
          <t>In stock</t>
        </is>
      </c>
    </row>
    <row r="99">
      <c r="A99" t="n">
        <v>98</v>
      </c>
      <c r="B99" t="n">
        <v>12</v>
      </c>
      <c r="C99" t="inlineStr">
        <is>
          <t>Actuators</t>
        </is>
      </c>
      <c r="D99" t="inlineStr">
        <is>
          <t>12-E Pneumatic Fittings &amp; Hose</t>
        </is>
      </c>
      <c r="E99" s="24" t="inlineStr">
        <is>
          <t>Fitting - Push-In Elbow, 1/4 in to 6 mm (QSL-1/4-6) - AutoGun</t>
        </is>
      </c>
      <c r="F99" t="inlineStr">
        <is>
          <t>1</t>
        </is>
      </c>
      <c r="G99" s="26" t="inlineStr">
        <is>
          <t>Not consumable</t>
        </is>
      </c>
      <c r="H99" s="24" t="inlineStr">
        <is>
          <t>Durable equipment / spare component</t>
        </is>
      </c>
      <c r="I99" t="inlineStr">
        <is>
          <t>Anand</t>
        </is>
      </c>
      <c r="J99" t="inlineStr">
        <is>
          <t>India</t>
        </is>
      </c>
      <c r="K99" t="inlineStr">
        <is>
          <t>No</t>
        </is>
      </c>
      <c r="M99" t="inlineStr">
        <is>
          <t>In stock</t>
        </is>
      </c>
    </row>
    <row r="100">
      <c r="A100" t="n">
        <v>99</v>
      </c>
      <c r="B100" t="n">
        <v>12</v>
      </c>
      <c r="C100" t="inlineStr">
        <is>
          <t>Actuators</t>
        </is>
      </c>
      <c r="D100" t="inlineStr">
        <is>
          <t>12-E Pneumatic Fittings &amp; Hose</t>
        </is>
      </c>
      <c r="E100" s="24" t="inlineStr">
        <is>
          <t>Fitting - Push-In Straight, 3/8 in to 6 mm (QS-3/8-6) - 5/2 valve inlet + outlet</t>
        </is>
      </c>
      <c r="F100" t="inlineStr">
        <is>
          <t>3</t>
        </is>
      </c>
      <c r="G100" s="26" t="inlineStr">
        <is>
          <t>Not consumable</t>
        </is>
      </c>
      <c r="H100" s="24" t="inlineStr">
        <is>
          <t>Durable equipment / spare component</t>
        </is>
      </c>
      <c r="I100" t="inlineStr">
        <is>
          <t>Anand</t>
        </is>
      </c>
      <c r="J100" t="inlineStr">
        <is>
          <t>India</t>
        </is>
      </c>
      <c r="K100" t="inlineStr">
        <is>
          <t>No</t>
        </is>
      </c>
      <c r="M100" t="inlineStr">
        <is>
          <t>In stock</t>
        </is>
      </c>
    </row>
    <row r="101">
      <c r="A101" t="n">
        <v>100</v>
      </c>
      <c r="B101" t="n">
        <v>12</v>
      </c>
      <c r="C101" t="inlineStr">
        <is>
          <t>Actuators</t>
        </is>
      </c>
      <c r="D101" t="inlineStr">
        <is>
          <t>12-E Pneumatic Fittings &amp; Hose</t>
        </is>
      </c>
      <c r="E101" s="24" t="inlineStr">
        <is>
          <t>Fitting - Push-In Reducer, 8 to 6 mm (QS-8-6)</t>
        </is>
      </c>
      <c r="F101" t="inlineStr">
        <is>
          <t>2</t>
        </is>
      </c>
      <c r="G101" s="26" t="inlineStr">
        <is>
          <t>Not consumable</t>
        </is>
      </c>
      <c r="H101" s="24" t="inlineStr">
        <is>
          <t>Durable equipment / spare component</t>
        </is>
      </c>
      <c r="I101" t="inlineStr">
        <is>
          <t>Anand</t>
        </is>
      </c>
      <c r="J101" t="inlineStr">
        <is>
          <t>India</t>
        </is>
      </c>
      <c r="K101" t="inlineStr">
        <is>
          <t>No</t>
        </is>
      </c>
      <c r="M101" t="inlineStr">
        <is>
          <t>In stock</t>
        </is>
      </c>
    </row>
    <row r="102">
      <c r="A102" t="n">
        <v>101</v>
      </c>
      <c r="B102" t="n">
        <v>12</v>
      </c>
      <c r="C102" t="inlineStr">
        <is>
          <t>Actuators</t>
        </is>
      </c>
      <c r="D102" t="inlineStr">
        <is>
          <t>12-E Pneumatic Fittings &amp; Hose</t>
        </is>
      </c>
      <c r="E102" s="24" t="inlineStr">
        <is>
          <t>Fitting - Muffler Connector, PCF6-02 - 5/2 exhaust</t>
        </is>
      </c>
      <c r="F102" t="inlineStr">
        <is>
          <t>2</t>
        </is>
      </c>
      <c r="G102" s="26" t="inlineStr">
        <is>
          <t>Not consumable</t>
        </is>
      </c>
      <c r="H102" s="24" t="inlineStr">
        <is>
          <t>Durable equipment / spare component</t>
        </is>
      </c>
      <c r="I102" t="inlineStr">
        <is>
          <t>Anand</t>
        </is>
      </c>
      <c r="J102" t="inlineStr">
        <is>
          <t>India</t>
        </is>
      </c>
      <c r="K102" t="inlineStr">
        <is>
          <t>No</t>
        </is>
      </c>
      <c r="L102" t="inlineStr">
        <is>
          <t>PR-2026-1562</t>
        </is>
      </c>
      <c r="M102" t="inlineStr">
        <is>
          <t>Payment Done</t>
        </is>
      </c>
    </row>
    <row r="103">
      <c r="A103" t="n">
        <v>102</v>
      </c>
      <c r="B103" t="n">
        <v>12</v>
      </c>
      <c r="C103" t="inlineStr">
        <is>
          <t>Actuators</t>
        </is>
      </c>
      <c r="D103" t="inlineStr">
        <is>
          <t>12-E Pneumatic Fittings &amp; Hose</t>
        </is>
      </c>
      <c r="E103" s="24" t="inlineStr">
        <is>
          <t>Muffler - Brass, 1/4 in - 5/2 + 3/2 exhaust</t>
        </is>
      </c>
      <c r="F103" t="inlineStr">
        <is>
          <t>2</t>
        </is>
      </c>
      <c r="G103" s="26" t="inlineStr">
        <is>
          <t>Not consumable</t>
        </is>
      </c>
      <c r="H103" s="24" t="inlineStr">
        <is>
          <t>Durable equipment / spare component</t>
        </is>
      </c>
      <c r="I103" t="inlineStr">
        <is>
          <t>Anand</t>
        </is>
      </c>
      <c r="J103" t="inlineStr">
        <is>
          <t>India</t>
        </is>
      </c>
      <c r="K103" t="inlineStr">
        <is>
          <t>No</t>
        </is>
      </c>
      <c r="L103" t="inlineStr">
        <is>
          <t>PR-2026-1563</t>
        </is>
      </c>
      <c r="M103" t="inlineStr">
        <is>
          <t>Payment Done</t>
        </is>
      </c>
    </row>
    <row r="104">
      <c r="A104" t="n">
        <v>103</v>
      </c>
      <c r="B104" t="n">
        <v>12</v>
      </c>
      <c r="C104" t="inlineStr">
        <is>
          <t>Actuators</t>
        </is>
      </c>
      <c r="D104" t="inlineStr">
        <is>
          <t>12-E Pneumatic Fittings &amp; Hose</t>
        </is>
      </c>
      <c r="E104" s="24" t="inlineStr">
        <is>
          <t>Fitting - Push-In, WP2110651 - 2/2 and 3/2 valve ports</t>
        </is>
      </c>
      <c r="F104" t="inlineStr">
        <is>
          <t>4</t>
        </is>
      </c>
      <c r="G104" s="26" t="inlineStr">
        <is>
          <t>Not consumable</t>
        </is>
      </c>
      <c r="H104" s="24" t="inlineStr">
        <is>
          <t>Durable equipment / spare component</t>
        </is>
      </c>
      <c r="I104" t="inlineStr">
        <is>
          <t>Anand</t>
        </is>
      </c>
      <c r="J104" t="inlineStr">
        <is>
          <t>India</t>
        </is>
      </c>
      <c r="K104" t="inlineStr">
        <is>
          <t>No</t>
        </is>
      </c>
      <c r="M104" t="inlineStr">
        <is>
          <t>In stock</t>
        </is>
      </c>
    </row>
    <row r="105">
      <c r="A105" t="n">
        <v>104</v>
      </c>
      <c r="B105" t="n">
        <v>12</v>
      </c>
      <c r="C105" t="inlineStr">
        <is>
          <t>Actuators</t>
        </is>
      </c>
      <c r="D105" t="inlineStr">
        <is>
          <t>12-F Latches</t>
        </is>
      </c>
      <c r="E105" s="24" t="inlineStr">
        <is>
          <t>Latch - Electromagnetic, EM6-FBT1224</t>
        </is>
      </c>
      <c r="F105" t="inlineStr">
        <is>
          <t>1.0</t>
        </is>
      </c>
      <c r="G105" s="26" t="inlineStr">
        <is>
          <t>Not consumable</t>
        </is>
      </c>
      <c r="H105" s="24" t="inlineStr">
        <is>
          <t>Durable equipment / spare component</t>
        </is>
      </c>
      <c r="I105" t="inlineStr">
        <is>
          <t>Badri</t>
        </is>
      </c>
      <c r="J105" t="inlineStr">
        <is>
          <t>India</t>
        </is>
      </c>
      <c r="K105" t="inlineStr">
        <is>
          <t>No</t>
        </is>
      </c>
      <c r="M105" t="inlineStr">
        <is>
          <t>IQC Stage</t>
        </is>
      </c>
      <c r="N105" t="inlineStr">
        <is>
          <t>NY Stationary (stays in NY inventory)</t>
        </is>
      </c>
    </row>
    <row r="106">
      <c r="A106" t="n">
        <v>105</v>
      </c>
      <c r="B106" t="n">
        <v>12</v>
      </c>
      <c r="C106" t="inlineStr">
        <is>
          <t>Actuators</t>
        </is>
      </c>
      <c r="D106" t="inlineStr">
        <is>
          <t>12-F Latches</t>
        </is>
      </c>
      <c r="E106" s="24" t="inlineStr">
        <is>
          <t>Latch - Electromechanical, KR-S79N</t>
        </is>
      </c>
      <c r="F106" t="inlineStr">
        <is>
          <t>2.0</t>
        </is>
      </c>
      <c r="G106" s="26" t="inlineStr">
        <is>
          <t>Not consumable</t>
        </is>
      </c>
      <c r="H106" s="24" t="inlineStr">
        <is>
          <t>Durable equipment / spare component</t>
        </is>
      </c>
      <c r="I106" t="inlineStr">
        <is>
          <t>Anand</t>
        </is>
      </c>
      <c r="J106" t="inlineStr">
        <is>
          <t>India</t>
        </is>
      </c>
      <c r="K106" t="inlineStr">
        <is>
          <t>Yes</t>
        </is>
      </c>
      <c r="L106" t="inlineStr">
        <is>
          <t>PR-2026-1565</t>
        </is>
      </c>
      <c r="M106" t="inlineStr">
        <is>
          <t>Payment Done</t>
        </is>
      </c>
    </row>
    <row r="107">
      <c r="A107" t="n">
        <v>106</v>
      </c>
      <c r="B107" t="n">
        <v>12</v>
      </c>
      <c r="C107" t="inlineStr">
        <is>
          <t>Actuators</t>
        </is>
      </c>
      <c r="D107" t="inlineStr">
        <is>
          <t>12-G Spray Gun &amp; Applicator</t>
        </is>
      </c>
      <c r="E107" s="24" t="inlineStr">
        <is>
          <t>Hose - Airless Paint, Graco BlueMax II 3/8 in x 50 ft (240797)</t>
        </is>
      </c>
      <c r="F107" t="inlineStr">
        <is>
          <t>1</t>
        </is>
      </c>
      <c r="G107" s="26" t="inlineStr">
        <is>
          <t>Not consumable</t>
        </is>
      </c>
      <c r="H107" s="24" t="inlineStr">
        <is>
          <t>Durable equipment / spare component</t>
        </is>
      </c>
      <c r="I107" t="inlineStr">
        <is>
          <t>Anand</t>
        </is>
      </c>
      <c r="J107" t="inlineStr">
        <is>
          <t>India</t>
        </is>
      </c>
      <c r="K107" t="inlineStr">
        <is>
          <t>No</t>
        </is>
      </c>
      <c r="M107" t="inlineStr">
        <is>
          <t>In stock</t>
        </is>
      </c>
    </row>
    <row r="108">
      <c r="A108" t="n">
        <v>107</v>
      </c>
      <c r="B108" t="n">
        <v>12</v>
      </c>
      <c r="C108" t="inlineStr">
        <is>
          <t>Actuators</t>
        </is>
      </c>
      <c r="D108" t="inlineStr">
        <is>
          <t>12-G Spray Gun &amp; Applicator</t>
        </is>
      </c>
      <c r="E108" s="24" t="inlineStr">
        <is>
          <t>Spray Gun - Graco AutoGun, 26C264</t>
        </is>
      </c>
      <c r="F108" t="inlineStr">
        <is>
          <t>1</t>
        </is>
      </c>
      <c r="G108" s="26" t="inlineStr">
        <is>
          <t>Not consumable</t>
        </is>
      </c>
      <c r="H108" s="24" t="inlineStr">
        <is>
          <t>Durable equipment / spare component</t>
        </is>
      </c>
      <c r="I108" t="inlineStr">
        <is>
          <t>Anand</t>
        </is>
      </c>
      <c r="J108" t="inlineStr">
        <is>
          <t>India</t>
        </is>
      </c>
      <c r="K108" t="inlineStr">
        <is>
          <t>No</t>
        </is>
      </c>
      <c r="M108" t="inlineStr">
        <is>
          <t>In stock</t>
        </is>
      </c>
    </row>
    <row r="109">
      <c r="A109" t="n">
        <v>108</v>
      </c>
      <c r="B109" t="n">
        <v>12</v>
      </c>
      <c r="C109" t="inlineStr">
        <is>
          <t>Actuators</t>
        </is>
      </c>
      <c r="D109" t="inlineStr">
        <is>
          <t>12-G Spray Gun &amp; Applicator</t>
        </is>
      </c>
      <c r="E109" s="24" t="inlineStr">
        <is>
          <t>Needle - Cartridge Assembly, Graco 24B916</t>
        </is>
      </c>
      <c r="F109" t="inlineStr">
        <is>
          <t>1</t>
        </is>
      </c>
      <c r="G109" s="25" t="inlineStr">
        <is>
          <t>Consumable</t>
        </is>
      </c>
      <c r="H109" s="24" t="inlineStr">
        <is>
          <t>Spray-gun wear part</t>
        </is>
      </c>
      <c r="I109" t="inlineStr">
        <is>
          <t>Anand</t>
        </is>
      </c>
      <c r="J109" t="inlineStr">
        <is>
          <t>Buy in US</t>
        </is>
      </c>
      <c r="K109" t="inlineStr">
        <is>
          <t>No</t>
        </is>
      </c>
      <c r="M109" t="inlineStr">
        <is>
          <t>To be purchased</t>
        </is>
      </c>
    </row>
    <row r="110">
      <c r="A110" t="n">
        <v>109</v>
      </c>
      <c r="B110" t="n">
        <v>12</v>
      </c>
      <c r="C110" t="inlineStr">
        <is>
          <t>Actuators</t>
        </is>
      </c>
      <c r="D110" t="inlineStr">
        <is>
          <t>12-H Piston &amp; Cylinder Parts</t>
        </is>
      </c>
      <c r="E110" s="24" t="inlineStr">
        <is>
          <t>Rod End - Piston, Custom</t>
        </is>
      </c>
      <c r="F110" t="inlineStr">
        <is>
          <t>4</t>
        </is>
      </c>
      <c r="G110" s="26" t="inlineStr">
        <is>
          <t>Not consumable</t>
        </is>
      </c>
      <c r="H110" s="24" t="inlineStr">
        <is>
          <t>Durable equipment / spare component</t>
        </is>
      </c>
      <c r="I110" t="inlineStr">
        <is>
          <t>Anand</t>
        </is>
      </c>
      <c r="J110" t="inlineStr">
        <is>
          <t>India</t>
        </is>
      </c>
      <c r="K110" t="inlineStr">
        <is>
          <t>No</t>
        </is>
      </c>
      <c r="M110" t="inlineStr">
        <is>
          <t>In stock</t>
        </is>
      </c>
    </row>
    <row r="111">
      <c r="A111" t="n">
        <v>110</v>
      </c>
      <c r="B111" t="n">
        <v>12</v>
      </c>
      <c r="C111" t="inlineStr">
        <is>
          <t>Actuators</t>
        </is>
      </c>
      <c r="D111" t="inlineStr">
        <is>
          <t>12-H Piston &amp; Cylinder Parts</t>
        </is>
      </c>
      <c r="E111" s="24" t="inlineStr">
        <is>
          <t>Bolt - Countersunk (CSK), M6 x 15 mm - piston rod end</t>
        </is>
      </c>
      <c r="F111" t="inlineStr">
        <is>
          <t>8</t>
        </is>
      </c>
      <c r="G111" s="25" t="inlineStr">
        <is>
          <t>Consumable</t>
        </is>
      </c>
      <c r="H111" s="24" t="inlineStr">
        <is>
          <t>Bulk fastener - consumable-class stock</t>
        </is>
      </c>
      <c r="I111" t="inlineStr">
        <is>
          <t>Anand</t>
        </is>
      </c>
      <c r="J111" t="inlineStr">
        <is>
          <t>India</t>
        </is>
      </c>
      <c r="K111" t="inlineStr">
        <is>
          <t>No</t>
        </is>
      </c>
      <c r="L111" t="inlineStr">
        <is>
          <t>PR-2026-1564</t>
        </is>
      </c>
      <c r="M111" t="inlineStr">
        <is>
          <t>PR Raised</t>
        </is>
      </c>
    </row>
    <row r="112">
      <c r="A112" t="n">
        <v>111</v>
      </c>
      <c r="B112" t="n">
        <v>13</v>
      </c>
      <c r="C112" t="inlineStr">
        <is>
          <t>Wire, connector, cables &amp; crimps</t>
        </is>
      </c>
      <c r="D112" t="inlineStr">
        <is>
          <t>13-A Wire - Bulk</t>
        </is>
      </c>
      <c r="E112" s="24" t="inlineStr">
        <is>
          <t>Wire - Silicone, 4 AWG, Red</t>
        </is>
      </c>
      <c r="F112" t="inlineStr">
        <is>
          <t>1</t>
        </is>
      </c>
      <c r="G112" s="27" t="inlineStr">
        <is>
          <t>Borderline</t>
        </is>
      </c>
      <c r="H112" s="24" t="inlineStr">
        <is>
          <t>Bulk stock issued by length - consumable-class in inventory, not used up per se</t>
        </is>
      </c>
      <c r="I112" t="inlineStr">
        <is>
          <t>Badri</t>
        </is>
      </c>
      <c r="J112" t="inlineStr">
        <is>
          <t>India</t>
        </is>
      </c>
      <c r="K112" t="inlineStr">
        <is>
          <t>No</t>
        </is>
      </c>
      <c r="M112" t="inlineStr">
        <is>
          <t>In stock</t>
        </is>
      </c>
      <c r="N112" t="inlineStr">
        <is>
          <t>Mobile (travels with robot)</t>
        </is>
      </c>
    </row>
    <row r="113">
      <c r="A113" t="n">
        <v>112</v>
      </c>
      <c r="B113" t="n">
        <v>13</v>
      </c>
      <c r="C113" t="inlineStr">
        <is>
          <t>Wire, connector, cables &amp; crimps</t>
        </is>
      </c>
      <c r="D113" t="inlineStr">
        <is>
          <t>13-A Wire - Bulk</t>
        </is>
      </c>
      <c r="E113" s="24" t="inlineStr">
        <is>
          <t>Wire - Silicone, 4 AWG, Black</t>
        </is>
      </c>
      <c r="F113" t="inlineStr">
        <is>
          <t>1</t>
        </is>
      </c>
      <c r="G113" s="27" t="inlineStr">
        <is>
          <t>Borderline</t>
        </is>
      </c>
      <c r="H113" s="24" t="inlineStr">
        <is>
          <t>Bulk stock issued by length - consumable-class in inventory, not used up per se</t>
        </is>
      </c>
      <c r="I113" t="inlineStr">
        <is>
          <t>Badri</t>
        </is>
      </c>
      <c r="J113" t="inlineStr">
        <is>
          <t>India</t>
        </is>
      </c>
      <c r="K113" t="inlineStr">
        <is>
          <t>No</t>
        </is>
      </c>
      <c r="M113" t="inlineStr">
        <is>
          <t>In stock</t>
        </is>
      </c>
      <c r="N113" t="inlineStr">
        <is>
          <t>Mobile (travels with robot)</t>
        </is>
      </c>
    </row>
    <row r="114">
      <c r="A114" t="n">
        <v>113</v>
      </c>
      <c r="B114" t="n">
        <v>13</v>
      </c>
      <c r="C114" t="inlineStr">
        <is>
          <t>Wire, connector, cables &amp; crimps</t>
        </is>
      </c>
      <c r="D114" t="inlineStr">
        <is>
          <t>13-A Wire - Bulk</t>
        </is>
      </c>
      <c r="E114" s="24" t="inlineStr">
        <is>
          <t>Earth Wire 18 AWG</t>
        </is>
      </c>
      <c r="F114" t="inlineStr">
        <is>
          <t>3.0</t>
        </is>
      </c>
      <c r="G114" s="27" t="inlineStr">
        <is>
          <t>Borderline</t>
        </is>
      </c>
      <c r="H114" s="24" t="inlineStr">
        <is>
          <t>Bulk stock issued by length - consumable-class in inventory, not used up per se</t>
        </is>
      </c>
      <c r="I114" t="inlineStr">
        <is>
          <t>Badri</t>
        </is>
      </c>
      <c r="J114" t="inlineStr">
        <is>
          <t>India</t>
        </is>
      </c>
      <c r="K114" t="inlineStr">
        <is>
          <t>No</t>
        </is>
      </c>
      <c r="M114" t="inlineStr">
        <is>
          <t>In stock</t>
        </is>
      </c>
    </row>
    <row r="115">
      <c r="A115" t="n">
        <v>114</v>
      </c>
      <c r="B115" t="n">
        <v>13</v>
      </c>
      <c r="C115" t="inlineStr">
        <is>
          <t>Wire, connector, cables &amp; crimps</t>
        </is>
      </c>
      <c r="D115" t="inlineStr">
        <is>
          <t>13-A Wire - Bulk</t>
        </is>
      </c>
      <c r="E115" s="24" t="inlineStr">
        <is>
          <t>3 Core Shielded AC cable</t>
        </is>
      </c>
      <c r="F115" t="inlineStr">
        <is>
          <t>3.0</t>
        </is>
      </c>
      <c r="G115" s="27" t="inlineStr">
        <is>
          <t>Borderline</t>
        </is>
      </c>
      <c r="H115" s="24" t="inlineStr">
        <is>
          <t>Bulk stock issued by length - consumable-class in inventory, not used up per se</t>
        </is>
      </c>
      <c r="I115" t="inlineStr">
        <is>
          <t>Badri</t>
        </is>
      </c>
      <c r="J115" t="inlineStr">
        <is>
          <t>India</t>
        </is>
      </c>
      <c r="K115" t="inlineStr">
        <is>
          <t>No</t>
        </is>
      </c>
      <c r="M115" t="inlineStr">
        <is>
          <t>In stock</t>
        </is>
      </c>
    </row>
    <row r="116">
      <c r="A116" t="n">
        <v>115</v>
      </c>
      <c r="B116" t="n">
        <v>13</v>
      </c>
      <c r="C116" t="inlineStr">
        <is>
          <t>Wire, connector, cables &amp; crimps</t>
        </is>
      </c>
      <c r="D116" t="inlineStr">
        <is>
          <t>13-A Wire - Bulk</t>
        </is>
      </c>
      <c r="E116" s="24" t="inlineStr">
        <is>
          <t>Wire - Silicone, 8 AWG, Red</t>
        </is>
      </c>
      <c r="F116" t="inlineStr">
        <is>
          <t>1</t>
        </is>
      </c>
      <c r="G116" s="27" t="inlineStr">
        <is>
          <t>Borderline</t>
        </is>
      </c>
      <c r="H116" s="24" t="inlineStr">
        <is>
          <t>Bulk stock issued by length - consumable-class in inventory, not used up per se</t>
        </is>
      </c>
      <c r="I116" t="inlineStr">
        <is>
          <t>Badri</t>
        </is>
      </c>
      <c r="J116" t="inlineStr">
        <is>
          <t>India</t>
        </is>
      </c>
      <c r="K116" t="inlineStr">
        <is>
          <t>No</t>
        </is>
      </c>
      <c r="M116" t="inlineStr">
        <is>
          <t>In stock</t>
        </is>
      </c>
      <c r="N116" t="inlineStr">
        <is>
          <t>Mobile (travels with robot)</t>
        </is>
      </c>
    </row>
    <row r="117">
      <c r="A117" t="n">
        <v>116</v>
      </c>
      <c r="B117" t="n">
        <v>13</v>
      </c>
      <c r="C117" t="inlineStr">
        <is>
          <t>Wire, connector, cables &amp; crimps</t>
        </is>
      </c>
      <c r="D117" t="inlineStr">
        <is>
          <t>13-A Wire - Bulk</t>
        </is>
      </c>
      <c r="E117" s="24" t="inlineStr">
        <is>
          <t>Wire - Silicone, 8 AWG, Black</t>
        </is>
      </c>
      <c r="F117" t="inlineStr">
        <is>
          <t>1</t>
        </is>
      </c>
      <c r="G117" s="27" t="inlineStr">
        <is>
          <t>Borderline</t>
        </is>
      </c>
      <c r="H117" s="24" t="inlineStr">
        <is>
          <t>Bulk stock issued by length - consumable-class in inventory, not used up per se</t>
        </is>
      </c>
      <c r="I117" t="inlineStr">
        <is>
          <t>Badri</t>
        </is>
      </c>
      <c r="J117" t="inlineStr">
        <is>
          <t>India</t>
        </is>
      </c>
      <c r="K117" t="inlineStr">
        <is>
          <t>No</t>
        </is>
      </c>
      <c r="M117" t="inlineStr">
        <is>
          <t>In stock</t>
        </is>
      </c>
      <c r="N117" t="inlineStr">
        <is>
          <t>Mobile (travels with robot)</t>
        </is>
      </c>
    </row>
    <row r="118">
      <c r="A118" t="n">
        <v>117</v>
      </c>
      <c r="B118" t="n">
        <v>13</v>
      </c>
      <c r="C118" t="inlineStr">
        <is>
          <t>Wire, connector, cables &amp; crimps</t>
        </is>
      </c>
      <c r="D118" t="inlineStr">
        <is>
          <t>13-A Wire - Bulk</t>
        </is>
      </c>
      <c r="E118" s="24" t="inlineStr">
        <is>
          <t>Wire - Silicone, 14 AWG, Red</t>
        </is>
      </c>
      <c r="F118" t="inlineStr">
        <is>
          <t>5.0</t>
        </is>
      </c>
      <c r="G118" s="27" t="inlineStr">
        <is>
          <t>Borderline</t>
        </is>
      </c>
      <c r="H118" s="24" t="inlineStr">
        <is>
          <t>Bulk stock issued by length - consumable-class in inventory, not used up per se</t>
        </is>
      </c>
      <c r="I118" t="inlineStr">
        <is>
          <t>Badri</t>
        </is>
      </c>
      <c r="J118" t="inlineStr">
        <is>
          <t>India</t>
        </is>
      </c>
      <c r="K118" t="inlineStr">
        <is>
          <t>No</t>
        </is>
      </c>
      <c r="M118" t="inlineStr">
        <is>
          <t>In stock</t>
        </is>
      </c>
      <c r="N118" t="inlineStr">
        <is>
          <t>Mobile (travels with robot)</t>
        </is>
      </c>
    </row>
    <row r="119">
      <c r="A119" t="n">
        <v>118</v>
      </c>
      <c r="B119" t="n">
        <v>13</v>
      </c>
      <c r="C119" t="inlineStr">
        <is>
          <t>Wire, connector, cables &amp; crimps</t>
        </is>
      </c>
      <c r="D119" t="inlineStr">
        <is>
          <t>13-A Wire - Bulk</t>
        </is>
      </c>
      <c r="E119" s="24" t="inlineStr">
        <is>
          <t>Wire - Silicone, 14 AWG, Black</t>
        </is>
      </c>
      <c r="F119" t="inlineStr">
        <is>
          <t>5.0</t>
        </is>
      </c>
      <c r="G119" s="27" t="inlineStr">
        <is>
          <t>Borderline</t>
        </is>
      </c>
      <c r="H119" s="24" t="inlineStr">
        <is>
          <t>Bulk stock issued by length - consumable-class in inventory, not used up per se</t>
        </is>
      </c>
      <c r="I119" t="inlineStr">
        <is>
          <t>Badri</t>
        </is>
      </c>
      <c r="J119" t="inlineStr">
        <is>
          <t>India</t>
        </is>
      </c>
      <c r="K119" t="inlineStr">
        <is>
          <t>No</t>
        </is>
      </c>
      <c r="M119" t="inlineStr">
        <is>
          <t>In stock</t>
        </is>
      </c>
      <c r="N119" t="inlineStr">
        <is>
          <t>Mobile (travels with robot)</t>
        </is>
      </c>
    </row>
    <row r="120">
      <c r="A120" t="n">
        <v>119</v>
      </c>
      <c r="B120" t="n">
        <v>13</v>
      </c>
      <c r="C120" t="inlineStr">
        <is>
          <t>Wire, connector, cables &amp; crimps</t>
        </is>
      </c>
      <c r="D120" t="inlineStr">
        <is>
          <t>13-C Cables - Ethernet &amp; Data</t>
        </is>
      </c>
      <c r="E120" s="24" t="inlineStr">
        <is>
          <t>Cable - Lidar Power + Ethernet (shortened) - HHM</t>
        </is>
      </c>
      <c r="F120" t="inlineStr">
        <is>
          <t>1</t>
        </is>
      </c>
      <c r="G120" s="26" t="inlineStr">
        <is>
          <t>Not consumable</t>
        </is>
      </c>
      <c r="H120" s="24" t="inlineStr">
        <is>
          <t>Durable equipment / spare component</t>
        </is>
      </c>
      <c r="I120" t="inlineStr">
        <is>
          <t>Uttez</t>
        </is>
      </c>
      <c r="J120" t="inlineStr">
        <is>
          <t>India</t>
        </is>
      </c>
      <c r="K120" t="inlineStr">
        <is>
          <t>No</t>
        </is>
      </c>
      <c r="M120" t="inlineStr">
        <is>
          <t>To be Prepared</t>
        </is>
      </c>
      <c r="N120" t="inlineStr">
        <is>
          <t>Mobile (travels with robot)</t>
        </is>
      </c>
    </row>
    <row r="121">
      <c r="A121" t="n">
        <v>120</v>
      </c>
      <c r="B121" t="n">
        <v>13</v>
      </c>
      <c r="C121" t="inlineStr">
        <is>
          <t>Wire, connector, cables &amp; crimps</t>
        </is>
      </c>
      <c r="D121" t="inlineStr">
        <is>
          <t>13-C Cables - Ethernet &amp; Data</t>
        </is>
      </c>
      <c r="E121" s="24" t="inlineStr">
        <is>
          <t>Cable - USB A to USB C</t>
        </is>
      </c>
      <c r="F121" t="inlineStr">
        <is>
          <t>1</t>
        </is>
      </c>
      <c r="G121" s="26" t="inlineStr">
        <is>
          <t>Not consumable</t>
        </is>
      </c>
      <c r="H121" s="24" t="inlineStr">
        <is>
          <t>Durable equipment / spare component</t>
        </is>
      </c>
      <c r="I121" t="inlineStr">
        <is>
          <t>Uttez</t>
        </is>
      </c>
      <c r="J121" t="inlineStr">
        <is>
          <t>India</t>
        </is>
      </c>
      <c r="K121" t="inlineStr">
        <is>
          <t>No</t>
        </is>
      </c>
      <c r="M121" t="inlineStr">
        <is>
          <t>In stock</t>
        </is>
      </c>
      <c r="N121" t="inlineStr">
        <is>
          <t>Mobile (travels with robot)</t>
        </is>
      </c>
    </row>
    <row r="122">
      <c r="A122" t="n">
        <v>121</v>
      </c>
      <c r="B122" t="n">
        <v>13</v>
      </c>
      <c r="C122" t="inlineStr">
        <is>
          <t>Wire, connector, cables &amp; crimps</t>
        </is>
      </c>
      <c r="D122" t="inlineStr">
        <is>
          <t>13-A Wire - Bulk</t>
        </is>
      </c>
      <c r="E122" s="24" t="inlineStr">
        <is>
          <t>Wire - Silicone, 20 AWG, Red</t>
        </is>
      </c>
      <c r="F122" t="inlineStr">
        <is>
          <t>10.0</t>
        </is>
      </c>
      <c r="G122" s="27" t="inlineStr">
        <is>
          <t>Borderline</t>
        </is>
      </c>
      <c r="H122" s="24" t="inlineStr">
        <is>
          <t>Bulk stock issued by length - consumable-class in inventory, not used up per se</t>
        </is>
      </c>
      <c r="I122" t="inlineStr">
        <is>
          <t>Badri</t>
        </is>
      </c>
      <c r="J122" t="inlineStr">
        <is>
          <t>India</t>
        </is>
      </c>
      <c r="K122" t="inlineStr">
        <is>
          <t>No</t>
        </is>
      </c>
      <c r="M122" t="inlineStr">
        <is>
          <t>In stock</t>
        </is>
      </c>
      <c r="N122" t="inlineStr">
        <is>
          <t>Mobile (travels with robot)</t>
        </is>
      </c>
    </row>
    <row r="123">
      <c r="A123" t="n">
        <v>122</v>
      </c>
      <c r="B123" t="n">
        <v>13</v>
      </c>
      <c r="C123" t="inlineStr">
        <is>
          <t>Wire, connector, cables &amp; crimps</t>
        </is>
      </c>
      <c r="D123" t="inlineStr">
        <is>
          <t>13-A Wire - Bulk</t>
        </is>
      </c>
      <c r="E123" s="24" t="inlineStr">
        <is>
          <t>Wire - Silicone, 20 AWG, Black</t>
        </is>
      </c>
      <c r="F123" t="inlineStr">
        <is>
          <t>10.0</t>
        </is>
      </c>
      <c r="G123" s="27" t="inlineStr">
        <is>
          <t>Borderline</t>
        </is>
      </c>
      <c r="H123" s="24" t="inlineStr">
        <is>
          <t>Bulk stock issued by length - consumable-class in inventory, not used up per se</t>
        </is>
      </c>
      <c r="I123" t="inlineStr">
        <is>
          <t>Badri</t>
        </is>
      </c>
      <c r="J123" t="inlineStr">
        <is>
          <t>India</t>
        </is>
      </c>
      <c r="K123" t="inlineStr">
        <is>
          <t>No</t>
        </is>
      </c>
      <c r="M123" t="inlineStr">
        <is>
          <t>In stock</t>
        </is>
      </c>
      <c r="N123" t="inlineStr">
        <is>
          <t>Mobile (travels with robot)</t>
        </is>
      </c>
    </row>
    <row r="124">
      <c r="A124" t="n">
        <v>123</v>
      </c>
      <c r="B124" t="n">
        <v>13</v>
      </c>
      <c r="C124" t="inlineStr">
        <is>
          <t>Wire, connector, cables &amp; crimps</t>
        </is>
      </c>
      <c r="D124" t="inlineStr">
        <is>
          <t>13-A Wire - Bulk</t>
        </is>
      </c>
      <c r="E124" s="24" t="inlineStr">
        <is>
          <t>Wire - PVC, 24 AWG, 2 Core</t>
        </is>
      </c>
      <c r="F124" t="inlineStr">
        <is>
          <t>10</t>
        </is>
      </c>
      <c r="G124" s="27" t="inlineStr">
        <is>
          <t>Borderline</t>
        </is>
      </c>
      <c r="H124" s="24" t="inlineStr">
        <is>
          <t>Bulk stock issued by length - consumable-class in inventory, not used up per se</t>
        </is>
      </c>
      <c r="I124" t="inlineStr">
        <is>
          <t>Badri</t>
        </is>
      </c>
      <c r="J124" t="inlineStr">
        <is>
          <t>India</t>
        </is>
      </c>
      <c r="K124" t="inlineStr">
        <is>
          <t>No</t>
        </is>
      </c>
      <c r="M124" t="inlineStr">
        <is>
          <t>PR Raised</t>
        </is>
      </c>
      <c r="N124" t="inlineStr">
        <is>
          <t>Mobile (travels with robot)</t>
        </is>
      </c>
    </row>
    <row r="125">
      <c r="A125" t="n">
        <v>124</v>
      </c>
      <c r="B125" t="n">
        <v>13</v>
      </c>
      <c r="C125" t="inlineStr">
        <is>
          <t>Wire, connector, cables &amp; crimps</t>
        </is>
      </c>
      <c r="D125" t="inlineStr">
        <is>
          <t>13-B Cables - Assembled</t>
        </is>
      </c>
      <c r="E125" s="24" t="inlineStr">
        <is>
          <t>Cable - Brake Wire - mechanical override for latches</t>
        </is>
      </c>
      <c r="F125" t="inlineStr">
        <is>
          <t>2</t>
        </is>
      </c>
      <c r="G125" s="26" t="inlineStr">
        <is>
          <t>Not consumable</t>
        </is>
      </c>
      <c r="H125" s="24" t="inlineStr">
        <is>
          <t>Durable equipment / spare component</t>
        </is>
      </c>
      <c r="I125" t="inlineStr">
        <is>
          <t>SANKALP</t>
        </is>
      </c>
      <c r="J125" t="inlineStr">
        <is>
          <t>India</t>
        </is>
      </c>
      <c r="K125" t="inlineStr">
        <is>
          <t>No</t>
        </is>
      </c>
      <c r="L125" t="inlineStr">
        <is>
          <t>PR-2026-1669</t>
        </is>
      </c>
      <c r="M125" t="inlineStr">
        <is>
          <t>PR Raised</t>
        </is>
      </c>
    </row>
    <row r="126">
      <c r="A126" t="n">
        <v>125</v>
      </c>
      <c r="B126" t="n">
        <v>13</v>
      </c>
      <c r="C126" t="inlineStr">
        <is>
          <t>Wire, connector, cables &amp; crimps</t>
        </is>
      </c>
      <c r="D126" t="inlineStr">
        <is>
          <t>13-C Cables - Ethernet &amp; Data</t>
        </is>
      </c>
      <c r="E126" s="24" t="inlineStr">
        <is>
          <t>Cable - Ethernet Cat 6, 12 cm - HHM lidar to Orin</t>
        </is>
      </c>
      <c r="F126" t="inlineStr">
        <is>
          <t>1.0</t>
        </is>
      </c>
      <c r="G126" s="26" t="inlineStr">
        <is>
          <t>Not consumable</t>
        </is>
      </c>
      <c r="H126" s="24" t="inlineStr">
        <is>
          <t>Durable equipment / spare component</t>
        </is>
      </c>
      <c r="I126" t="inlineStr">
        <is>
          <t>Uttez</t>
        </is>
      </c>
      <c r="J126" t="inlineStr">
        <is>
          <t>India</t>
        </is>
      </c>
      <c r="K126" t="inlineStr">
        <is>
          <t>No</t>
        </is>
      </c>
      <c r="M126" t="inlineStr">
        <is>
          <t>In stock</t>
        </is>
      </c>
      <c r="N126" t="inlineStr">
        <is>
          <t>Mobile (travels with robot)</t>
        </is>
      </c>
    </row>
    <row r="127">
      <c r="A127" t="n">
        <v>126</v>
      </c>
      <c r="B127" t="n">
        <v>13</v>
      </c>
      <c r="C127" t="inlineStr">
        <is>
          <t>Wire, connector, cables &amp; crimps</t>
        </is>
      </c>
      <c r="D127" t="inlineStr">
        <is>
          <t>13-C Cables - Ethernet &amp; Data</t>
        </is>
      </c>
      <c r="E127" s="24" t="inlineStr">
        <is>
          <t>Cable - USB C to USB C</t>
        </is>
      </c>
      <c r="F127" t="inlineStr">
        <is>
          <t>1</t>
        </is>
      </c>
      <c r="G127" s="26" t="inlineStr">
        <is>
          <t>Not consumable</t>
        </is>
      </c>
      <c r="H127" s="24" t="inlineStr">
        <is>
          <t>Durable equipment / spare component</t>
        </is>
      </c>
      <c r="I127" t="inlineStr">
        <is>
          <t>Uttez</t>
        </is>
      </c>
      <c r="J127" t="inlineStr">
        <is>
          <t>India</t>
        </is>
      </c>
      <c r="K127" t="inlineStr">
        <is>
          <t>No</t>
        </is>
      </c>
      <c r="M127" t="inlineStr">
        <is>
          <t>In stock</t>
        </is>
      </c>
      <c r="N127" t="inlineStr">
        <is>
          <t>Mobile (travels with robot)</t>
        </is>
      </c>
    </row>
    <row r="128">
      <c r="A128" t="n">
        <v>127</v>
      </c>
      <c r="B128" t="n">
        <v>13</v>
      </c>
      <c r="C128" t="inlineStr">
        <is>
          <t>Wire, connector, cables &amp; crimps</t>
        </is>
      </c>
      <c r="D128" t="inlineStr">
        <is>
          <t>13-C Cables - Ethernet &amp; Data</t>
        </is>
      </c>
      <c r="E128" s="24" t="inlineStr">
        <is>
          <t>Cable - FFC, 0.5 mm pitch, 22-position</t>
        </is>
      </c>
      <c r="F128" t="inlineStr">
        <is>
          <t>1.0</t>
        </is>
      </c>
      <c r="G128" s="26" t="inlineStr">
        <is>
          <t>Not consumable</t>
        </is>
      </c>
      <c r="H128" s="24" t="inlineStr">
        <is>
          <t>Durable equipment / spare component</t>
        </is>
      </c>
      <c r="I128" t="inlineStr">
        <is>
          <t>Uttez</t>
        </is>
      </c>
      <c r="J128" t="inlineStr">
        <is>
          <t>India</t>
        </is>
      </c>
      <c r="K128" t="inlineStr">
        <is>
          <t>No</t>
        </is>
      </c>
      <c r="M128" t="inlineStr">
        <is>
          <t>IQC Stage</t>
        </is>
      </c>
      <c r="N128" t="inlineStr">
        <is>
          <t>Mobile (travels with robot)</t>
        </is>
      </c>
    </row>
    <row r="129">
      <c r="A129" t="n">
        <v>128</v>
      </c>
      <c r="B129" t="n">
        <v>13</v>
      </c>
      <c r="C129" t="inlineStr">
        <is>
          <t>Wire, connector, cables &amp; crimps</t>
        </is>
      </c>
      <c r="D129" t="inlineStr">
        <is>
          <t>13-C Cables - Ethernet &amp; Data</t>
        </is>
      </c>
      <c r="E129" s="24" t="inlineStr">
        <is>
          <t>Adapter - DisplayPort to HDMI</t>
        </is>
      </c>
      <c r="F129" t="inlineStr">
        <is>
          <t>1</t>
        </is>
      </c>
      <c r="G129" s="26" t="inlineStr">
        <is>
          <t>Not consumable</t>
        </is>
      </c>
      <c r="H129" s="24" t="inlineStr">
        <is>
          <t>Durable equipment / spare component</t>
        </is>
      </c>
      <c r="I129" t="inlineStr">
        <is>
          <t>Uttez</t>
        </is>
      </c>
      <c r="J129" t="inlineStr">
        <is>
          <t>India</t>
        </is>
      </c>
      <c r="K129" t="inlineStr">
        <is>
          <t>No</t>
        </is>
      </c>
      <c r="M129" t="inlineStr">
        <is>
          <t>Hold</t>
        </is>
      </c>
      <c r="N129" t="inlineStr">
        <is>
          <t>Mobile (travels with robot)</t>
        </is>
      </c>
    </row>
    <row r="130">
      <c r="A130" t="n">
        <v>129</v>
      </c>
      <c r="B130" t="n">
        <v>13</v>
      </c>
      <c r="C130" t="inlineStr">
        <is>
          <t>Wire, connector, cables &amp; crimps</t>
        </is>
      </c>
      <c r="D130" t="inlineStr">
        <is>
          <t>13-C Cables - Ethernet &amp; Data</t>
        </is>
      </c>
      <c r="E130" s="24" t="inlineStr">
        <is>
          <t>Cable - Ethernet M12 X-Code to RJ45 - EOA Sander</t>
        </is>
      </c>
      <c r="F130" t="inlineStr">
        <is>
          <t>2.0</t>
        </is>
      </c>
      <c r="G130" s="26" t="inlineStr">
        <is>
          <t>Not consumable</t>
        </is>
      </c>
      <c r="H130" s="24" t="inlineStr">
        <is>
          <t>Durable equipment / spare component</t>
        </is>
      </c>
      <c r="I130" t="inlineStr">
        <is>
          <t>Uttez</t>
        </is>
      </c>
      <c r="J130" t="inlineStr">
        <is>
          <t>India</t>
        </is>
      </c>
      <c r="K130" t="inlineStr">
        <is>
          <t>No</t>
        </is>
      </c>
      <c r="L130" t="inlineStr">
        <is>
          <t>PR-2026-1528</t>
        </is>
      </c>
      <c r="M130" t="inlineStr">
        <is>
          <t>Payment Done</t>
        </is>
      </c>
      <c r="N130" t="inlineStr">
        <is>
          <t>Mobile (travels with robot)</t>
        </is>
      </c>
    </row>
    <row r="131">
      <c r="A131" t="n">
        <v>130</v>
      </c>
      <c r="B131" t="n">
        <v>13</v>
      </c>
      <c r="C131" t="inlineStr">
        <is>
          <t>Wire, connector, cables &amp; crimps</t>
        </is>
      </c>
      <c r="D131" t="inlineStr">
        <is>
          <t>13-C Cables - Ethernet &amp; Data</t>
        </is>
      </c>
      <c r="E131" s="24" t="inlineStr">
        <is>
          <t>Cable - Ethernet M12 X-Code to RJ45 - EOA Sprayer</t>
        </is>
      </c>
      <c r="F131" t="inlineStr">
        <is>
          <t>2.0</t>
        </is>
      </c>
      <c r="G131" s="26" t="inlineStr">
        <is>
          <t>Not consumable</t>
        </is>
      </c>
      <c r="H131" s="24" t="inlineStr">
        <is>
          <t>Durable equipment / spare component</t>
        </is>
      </c>
      <c r="I131" t="inlineStr">
        <is>
          <t>Uttez</t>
        </is>
      </c>
      <c r="J131" t="inlineStr">
        <is>
          <t>India</t>
        </is>
      </c>
      <c r="K131" t="inlineStr">
        <is>
          <t>No</t>
        </is>
      </c>
      <c r="L131" t="inlineStr">
        <is>
          <t>PR-2026-1528</t>
        </is>
      </c>
      <c r="M131" t="inlineStr">
        <is>
          <t>Payment Done</t>
        </is>
      </c>
      <c r="N131" t="inlineStr">
        <is>
          <t>Mobile (travels with robot)</t>
        </is>
      </c>
    </row>
    <row r="132">
      <c r="A132" t="n">
        <v>131</v>
      </c>
      <c r="B132" t="n">
        <v>13</v>
      </c>
      <c r="C132" t="inlineStr">
        <is>
          <t>Diagnostic &amp; repair tools</t>
        </is>
      </c>
      <c r="D132" t="inlineStr">
        <is>
          <t>13-C Cables - Ethernet &amp; Data</t>
        </is>
      </c>
      <c r="E132" s="24" t="inlineStr">
        <is>
          <t>Cable - HDMI</t>
        </is>
      </c>
      <c r="F132" t="inlineStr">
        <is>
          <t>2</t>
        </is>
      </c>
      <c r="G132" s="26" t="inlineStr">
        <is>
          <t>Not consumable</t>
        </is>
      </c>
      <c r="H132" s="24" t="inlineStr">
        <is>
          <t>Durable equipment / spare component</t>
        </is>
      </c>
      <c r="I132" t="inlineStr">
        <is>
          <t>Badri</t>
        </is>
      </c>
      <c r="J132" t="inlineStr">
        <is>
          <t>India</t>
        </is>
      </c>
      <c r="K132" t="inlineStr">
        <is>
          <t>No</t>
        </is>
      </c>
      <c r="M132" t="inlineStr">
        <is>
          <t>PR Raised</t>
        </is>
      </c>
    </row>
    <row r="133">
      <c r="A133" t="n">
        <v>132</v>
      </c>
      <c r="B133" t="n">
        <v>13</v>
      </c>
      <c r="C133" t="inlineStr">
        <is>
          <t>Diagnostic &amp; repair tools</t>
        </is>
      </c>
      <c r="D133" t="inlineStr">
        <is>
          <t>13-C Cables - Ethernet &amp; Data</t>
        </is>
      </c>
      <c r="E133" s="24" t="inlineStr">
        <is>
          <t>Cable - DB9 to RJ45</t>
        </is>
      </c>
      <c r="F133" t="inlineStr">
        <is>
          <t>4</t>
        </is>
      </c>
      <c r="G133" s="26" t="inlineStr">
        <is>
          <t>Not consumable</t>
        </is>
      </c>
      <c r="H133" s="24" t="inlineStr">
        <is>
          <t>Durable equipment / spare component</t>
        </is>
      </c>
      <c r="I133" t="inlineStr">
        <is>
          <t>Badri</t>
        </is>
      </c>
      <c r="J133" t="inlineStr">
        <is>
          <t>India</t>
        </is>
      </c>
      <c r="K133" t="inlineStr">
        <is>
          <t>No</t>
        </is>
      </c>
      <c r="M133" t="inlineStr">
        <is>
          <t>PR Raised</t>
        </is>
      </c>
    </row>
    <row r="134">
      <c r="A134" t="n">
        <v>133</v>
      </c>
      <c r="B134" t="n">
        <v>13</v>
      </c>
      <c r="C134" t="inlineStr">
        <is>
          <t>Diagnostic &amp; repair tools</t>
        </is>
      </c>
      <c r="D134" t="inlineStr">
        <is>
          <t>13-C Cables - Ethernet &amp; Data</t>
        </is>
      </c>
      <c r="E134" s="24" t="inlineStr">
        <is>
          <t>Cable - USB Type A to Type B</t>
        </is>
      </c>
      <c r="F134" t="inlineStr">
        <is>
          <t>2</t>
        </is>
      </c>
      <c r="G134" s="26" t="inlineStr">
        <is>
          <t>Not consumable</t>
        </is>
      </c>
      <c r="H134" s="24" t="inlineStr">
        <is>
          <t>Durable equipment / spare component</t>
        </is>
      </c>
      <c r="I134" t="inlineStr">
        <is>
          <t>Badri</t>
        </is>
      </c>
      <c r="J134" t="inlineStr">
        <is>
          <t>India</t>
        </is>
      </c>
      <c r="K134" t="inlineStr">
        <is>
          <t>No</t>
        </is>
      </c>
      <c r="M134" t="inlineStr">
        <is>
          <t>PR Raised</t>
        </is>
      </c>
    </row>
    <row r="135">
      <c r="A135" t="n">
        <v>134</v>
      </c>
      <c r="B135" t="n">
        <v>13</v>
      </c>
      <c r="C135" t="inlineStr">
        <is>
          <t>Diagnostic &amp; repair tools</t>
        </is>
      </c>
      <c r="D135" t="inlineStr">
        <is>
          <t>13-C Cables - Ethernet &amp; Data</t>
        </is>
      </c>
      <c r="E135" s="24" t="inlineStr">
        <is>
          <t>.</t>
        </is>
      </c>
      <c r="F135" t="inlineStr">
        <is>
          <t>2</t>
        </is>
      </c>
      <c r="G135" s="26" t="inlineStr">
        <is>
          <t>Not consumable</t>
        </is>
      </c>
      <c r="H135" s="24" t="inlineStr">
        <is>
          <t>Durable equipment / spare component</t>
        </is>
      </c>
      <c r="I135" t="inlineStr">
        <is>
          <t>Aravind</t>
        </is>
      </c>
      <c r="J135" t="inlineStr">
        <is>
          <t>India</t>
        </is>
      </c>
      <c r="K135" t="inlineStr">
        <is>
          <t>No</t>
        </is>
      </c>
      <c r="M135" t="inlineStr">
        <is>
          <t>To be Prepared</t>
        </is>
      </c>
    </row>
    <row r="136">
      <c r="A136" t="n">
        <v>135</v>
      </c>
      <c r="B136" t="n">
        <v>13</v>
      </c>
      <c r="C136" t="inlineStr">
        <is>
          <t>Diagnostic &amp; repair tools</t>
        </is>
      </c>
      <c r="D136" t="inlineStr">
        <is>
          <t>13-C Cables - Ethernet &amp; Data</t>
        </is>
      </c>
      <c r="E136" s="24" t="inlineStr">
        <is>
          <t>Cable - Ethernet Cat 6, 3 m</t>
        </is>
      </c>
      <c r="F136" t="inlineStr">
        <is>
          <t>2</t>
        </is>
      </c>
      <c r="G136" s="26" t="inlineStr">
        <is>
          <t>Not consumable</t>
        </is>
      </c>
      <c r="H136" s="24" t="inlineStr">
        <is>
          <t>Durable equipment / spare component</t>
        </is>
      </c>
      <c r="I136" t="inlineStr">
        <is>
          <t>Badri</t>
        </is>
      </c>
      <c r="J136" t="inlineStr">
        <is>
          <t>India</t>
        </is>
      </c>
      <c r="K136" t="inlineStr">
        <is>
          <t>No</t>
        </is>
      </c>
      <c r="M136" t="inlineStr">
        <is>
          <t>PR Raised</t>
        </is>
      </c>
    </row>
    <row r="137">
      <c r="A137" t="n">
        <v>136</v>
      </c>
      <c r="B137" t="n">
        <v>13</v>
      </c>
      <c r="C137" t="inlineStr">
        <is>
          <t>Diagnostic &amp; repair tools</t>
        </is>
      </c>
      <c r="D137" t="inlineStr">
        <is>
          <t>13-C Cables - Ethernet &amp; Data</t>
        </is>
      </c>
      <c r="E137" s="24" t="inlineStr">
        <is>
          <t>Cable - HDMI to DisplayPort</t>
        </is>
      </c>
      <c r="F137" t="inlineStr">
        <is>
          <t>1</t>
        </is>
      </c>
      <c r="G137" s="26" t="inlineStr">
        <is>
          <t>Not consumable</t>
        </is>
      </c>
      <c r="H137" s="24" t="inlineStr">
        <is>
          <t>Durable equipment / spare component</t>
        </is>
      </c>
      <c r="I137" t="inlineStr">
        <is>
          <t>Badri</t>
        </is>
      </c>
      <c r="J137" t="inlineStr">
        <is>
          <t>India</t>
        </is>
      </c>
      <c r="K137" t="inlineStr">
        <is>
          <t>No</t>
        </is>
      </c>
      <c r="M137" t="inlineStr">
        <is>
          <t>PR Raised</t>
        </is>
      </c>
    </row>
    <row r="138">
      <c r="A138" t="n">
        <v>137</v>
      </c>
      <c r="B138" t="n">
        <v>13</v>
      </c>
      <c r="C138" t="inlineStr">
        <is>
          <t>Diagnostic &amp; repair tools</t>
        </is>
      </c>
      <c r="D138" t="inlineStr">
        <is>
          <t>13-C Cables - Ethernet &amp; Data</t>
        </is>
      </c>
      <c r="E138" s="24" t="inlineStr">
        <is>
          <t>Cable - USB Type A to Type C, 2 m</t>
        </is>
      </c>
      <c r="F138" t="inlineStr">
        <is>
          <t>2</t>
        </is>
      </c>
      <c r="G138" s="26" t="inlineStr">
        <is>
          <t>Not consumable</t>
        </is>
      </c>
      <c r="H138" s="24" t="inlineStr">
        <is>
          <t>Durable equipment / spare component</t>
        </is>
      </c>
      <c r="I138" t="inlineStr">
        <is>
          <t>Badri</t>
        </is>
      </c>
      <c r="J138" t="inlineStr">
        <is>
          <t>India</t>
        </is>
      </c>
      <c r="K138" t="inlineStr">
        <is>
          <t>No</t>
        </is>
      </c>
      <c r="M138" t="inlineStr">
        <is>
          <t>PR Raised</t>
        </is>
      </c>
    </row>
    <row r="139">
      <c r="A139" t="n">
        <v>138</v>
      </c>
      <c r="B139" t="n">
        <v>13</v>
      </c>
      <c r="C139" t="inlineStr">
        <is>
          <t>Wire, connector, cables &amp; crimps</t>
        </is>
      </c>
      <c r="D139" t="inlineStr">
        <is>
          <t>13-C Cables - Ethernet &amp; Data</t>
        </is>
      </c>
      <c r="E139" s="24" t="inlineStr">
        <is>
          <t>Cable - CAN Bus, 2x2x0.22 mm2, Unitronic BUS CAN (2170261)</t>
        </is>
      </c>
      <c r="F139" t="inlineStr">
        <is>
          <t>3.0</t>
        </is>
      </c>
      <c r="G139" s="26" t="inlineStr">
        <is>
          <t>Not consumable</t>
        </is>
      </c>
      <c r="H139" s="24" t="inlineStr">
        <is>
          <t>Durable equipment / spare component</t>
        </is>
      </c>
      <c r="I139" t="inlineStr">
        <is>
          <t>Badri</t>
        </is>
      </c>
      <c r="J139" t="inlineStr">
        <is>
          <t>India</t>
        </is>
      </c>
      <c r="K139" t="inlineStr">
        <is>
          <t>No</t>
        </is>
      </c>
      <c r="M139" t="inlineStr">
        <is>
          <t>In stock</t>
        </is>
      </c>
    </row>
    <row r="140">
      <c r="A140" t="n">
        <v>139</v>
      </c>
      <c r="B140" t="n">
        <v>13</v>
      </c>
      <c r="C140" t="inlineStr">
        <is>
          <t>Wire, connector, cables &amp; crimps</t>
        </is>
      </c>
      <c r="D140" t="inlineStr">
        <is>
          <t>13-C Cables - Ethernet &amp; Data</t>
        </is>
      </c>
      <c r="E140" s="24" t="inlineStr">
        <is>
          <t>Cable - Ethernet Cat 6A, Unitronic LAN 500 (2170960)</t>
        </is>
      </c>
      <c r="F140" t="inlineStr">
        <is>
          <t>5</t>
        </is>
      </c>
      <c r="G140" s="26" t="inlineStr">
        <is>
          <t>Not consumable</t>
        </is>
      </c>
      <c r="H140" s="24" t="inlineStr">
        <is>
          <t>Durable equipment / spare component</t>
        </is>
      </c>
      <c r="I140" t="inlineStr">
        <is>
          <t>Badri</t>
        </is>
      </c>
      <c r="J140" t="inlineStr">
        <is>
          <t>India</t>
        </is>
      </c>
      <c r="K140" t="inlineStr">
        <is>
          <t>No</t>
        </is>
      </c>
      <c r="M140" t="inlineStr">
        <is>
          <t>In stock</t>
        </is>
      </c>
    </row>
    <row r="141">
      <c r="A141" t="n">
        <v>140</v>
      </c>
      <c r="B141" t="n">
        <v>13</v>
      </c>
      <c r="C141" t="inlineStr">
        <is>
          <t>Wire, connector, cables &amp; crimps</t>
        </is>
      </c>
      <c r="D141" t="inlineStr">
        <is>
          <t>13-C Cables - Ethernet &amp; Data</t>
        </is>
      </c>
      <c r="E141" s="24" t="inlineStr">
        <is>
          <t>Cable - Ethernet Cat 6, Etherline P FD  (2170488)</t>
        </is>
      </c>
      <c r="F141" t="inlineStr">
        <is>
          <t>20.0</t>
        </is>
      </c>
      <c r="G141" s="26" t="inlineStr">
        <is>
          <t>Not consumable</t>
        </is>
      </c>
      <c r="H141" s="24" t="inlineStr">
        <is>
          <t>Durable equipment / spare component</t>
        </is>
      </c>
      <c r="I141" t="inlineStr">
        <is>
          <t>Badri</t>
        </is>
      </c>
      <c r="J141" t="inlineStr">
        <is>
          <t>India</t>
        </is>
      </c>
      <c r="K141" t="inlineStr">
        <is>
          <t>No</t>
        </is>
      </c>
      <c r="M141" t="inlineStr">
        <is>
          <t>PR Raised</t>
        </is>
      </c>
    </row>
    <row r="142">
      <c r="A142" t="n">
        <v>141</v>
      </c>
      <c r="B142" t="n">
        <v>13</v>
      </c>
      <c r="C142" t="inlineStr">
        <is>
          <t>Wire, connector, cables &amp; crimps</t>
        </is>
      </c>
      <c r="D142" t="inlineStr">
        <is>
          <t>13-D Connectors - JST &amp; Headers</t>
        </is>
      </c>
      <c r="E142" s="24" t="inlineStr">
        <is>
          <t>Connector - JST XA Housing, 2-pin (XAP-02V-1) MoMa &amp; Tool</t>
        </is>
      </c>
      <c r="F142" t="inlineStr">
        <is>
          <t>50.0</t>
        </is>
      </c>
      <c r="G142" s="26" t="inlineStr">
        <is>
          <t>Not consumable</t>
        </is>
      </c>
      <c r="H142" s="24" t="inlineStr">
        <is>
          <t>Durable equipment / spare component</t>
        </is>
      </c>
      <c r="I142" t="inlineStr">
        <is>
          <t>Badri</t>
        </is>
      </c>
      <c r="J142" t="inlineStr">
        <is>
          <t>India</t>
        </is>
      </c>
      <c r="K142" t="inlineStr">
        <is>
          <t>No</t>
        </is>
      </c>
      <c r="M142" t="inlineStr">
        <is>
          <t>PR Raised</t>
        </is>
      </c>
      <c r="N142" t="inlineStr">
        <is>
          <t>Mobile (travels with robot)</t>
        </is>
      </c>
    </row>
    <row r="143">
      <c r="A143" t="n">
        <v>142</v>
      </c>
      <c r="B143" t="n">
        <v>13</v>
      </c>
      <c r="C143" t="inlineStr">
        <is>
          <t>Wire, connector, cables &amp; crimps</t>
        </is>
      </c>
      <c r="D143" t="inlineStr">
        <is>
          <t>13-D Connectors - JST &amp; Headers</t>
        </is>
      </c>
      <c r="E143" s="24" t="inlineStr">
        <is>
          <t>Connector - JST XA Housing, 3-pin (XAP-03V-1)</t>
        </is>
      </c>
      <c r="F143" t="inlineStr">
        <is>
          <t>20</t>
        </is>
      </c>
      <c r="G143" s="26" t="inlineStr">
        <is>
          <t>Not consumable</t>
        </is>
      </c>
      <c r="H143" s="24" t="inlineStr">
        <is>
          <t>Durable equipment / spare component</t>
        </is>
      </c>
      <c r="I143" t="inlineStr">
        <is>
          <t>Badri</t>
        </is>
      </c>
      <c r="J143" t="inlineStr">
        <is>
          <t>India</t>
        </is>
      </c>
      <c r="K143" t="inlineStr">
        <is>
          <t>No</t>
        </is>
      </c>
      <c r="M143" t="inlineStr">
        <is>
          <t>PR Raised</t>
        </is>
      </c>
      <c r="N143" t="inlineStr">
        <is>
          <t>Mobile (travels with robot)</t>
        </is>
      </c>
    </row>
    <row r="144">
      <c r="A144" t="n">
        <v>143</v>
      </c>
      <c r="B144" t="n">
        <v>13</v>
      </c>
      <c r="C144" t="inlineStr">
        <is>
          <t>Wire, connector, cables &amp; crimps</t>
        </is>
      </c>
      <c r="D144" t="inlineStr">
        <is>
          <t>13-D Connectors - JST &amp; Headers</t>
        </is>
      </c>
      <c r="E144" s="24" t="inlineStr">
        <is>
          <t>Connector - JST XA Housing, 4-pin (XAP-04V-1)</t>
        </is>
      </c>
      <c r="F144" t="inlineStr">
        <is>
          <t>20</t>
        </is>
      </c>
      <c r="G144" s="26" t="inlineStr">
        <is>
          <t>Not consumable</t>
        </is>
      </c>
      <c r="H144" s="24" t="inlineStr">
        <is>
          <t>Durable equipment / spare component</t>
        </is>
      </c>
      <c r="I144" t="inlineStr">
        <is>
          <t>Badri</t>
        </is>
      </c>
      <c r="J144" t="inlineStr">
        <is>
          <t>India</t>
        </is>
      </c>
      <c r="K144" t="inlineStr">
        <is>
          <t>No</t>
        </is>
      </c>
      <c r="M144" t="inlineStr">
        <is>
          <t>PR Raised</t>
        </is>
      </c>
      <c r="N144" t="inlineStr">
        <is>
          <t>Mobile (travels with robot)</t>
        </is>
      </c>
    </row>
    <row r="145">
      <c r="A145" t="n">
        <v>144</v>
      </c>
      <c r="B145" t="n">
        <v>13</v>
      </c>
      <c r="C145" t="inlineStr">
        <is>
          <t>Wire, connector, cables &amp; crimps</t>
        </is>
      </c>
      <c r="D145" t="inlineStr">
        <is>
          <t>13-D Connectors - JST &amp; Headers</t>
        </is>
      </c>
      <c r="E145" s="24" t="inlineStr">
        <is>
          <t>Connector - JST XA Housing, 5-pin (XAP-05V-1)</t>
        </is>
      </c>
      <c r="F145" t="inlineStr">
        <is>
          <t>20</t>
        </is>
      </c>
      <c r="G145" s="26" t="inlineStr">
        <is>
          <t>Not consumable</t>
        </is>
      </c>
      <c r="H145" s="24" t="inlineStr">
        <is>
          <t>Durable equipment / spare component</t>
        </is>
      </c>
      <c r="I145" t="inlineStr">
        <is>
          <t>Badri</t>
        </is>
      </c>
      <c r="J145" t="inlineStr">
        <is>
          <t>India</t>
        </is>
      </c>
      <c r="K145" t="inlineStr">
        <is>
          <t>No</t>
        </is>
      </c>
      <c r="M145" t="inlineStr">
        <is>
          <t>PR Raised</t>
        </is>
      </c>
      <c r="N145" t="inlineStr">
        <is>
          <t>Mobile (travels with robot)</t>
        </is>
      </c>
    </row>
    <row r="146">
      <c r="A146" t="n">
        <v>145</v>
      </c>
      <c r="B146" t="n">
        <v>13</v>
      </c>
      <c r="C146" t="inlineStr">
        <is>
          <t>Wire, connector, cables &amp; crimps</t>
        </is>
      </c>
      <c r="D146" t="inlineStr">
        <is>
          <t>13-D Connectors - JST &amp; Headers</t>
        </is>
      </c>
      <c r="E146" s="24" t="inlineStr">
        <is>
          <t>Connector - JST XA Housing, 6-pin (XAP-06V-1)</t>
        </is>
      </c>
      <c r="F146" t="inlineStr">
        <is>
          <t>20</t>
        </is>
      </c>
      <c r="G146" s="26" t="inlineStr">
        <is>
          <t>Not consumable</t>
        </is>
      </c>
      <c r="H146" s="24" t="inlineStr">
        <is>
          <t>Durable equipment / spare component</t>
        </is>
      </c>
      <c r="I146" t="inlineStr">
        <is>
          <t>Badri</t>
        </is>
      </c>
      <c r="J146" t="inlineStr">
        <is>
          <t>India</t>
        </is>
      </c>
      <c r="K146" t="inlineStr">
        <is>
          <t>No</t>
        </is>
      </c>
      <c r="M146" t="inlineStr">
        <is>
          <t>PR Raised</t>
        </is>
      </c>
      <c r="N146" t="inlineStr">
        <is>
          <t>Mobile (travels with robot)</t>
        </is>
      </c>
    </row>
    <row r="147">
      <c r="A147" t="n">
        <v>146</v>
      </c>
      <c r="B147" t="n">
        <v>13</v>
      </c>
      <c r="C147" t="inlineStr">
        <is>
          <t>Wire, connector, cables &amp; crimps</t>
        </is>
      </c>
      <c r="D147" t="inlineStr">
        <is>
          <t>13-D Connectors - JST &amp; Headers</t>
        </is>
      </c>
      <c r="E147" s="24" t="inlineStr">
        <is>
          <t>Connector - JST XA Housing, 7-pin (XAP-07V-1)</t>
        </is>
      </c>
      <c r="F147" t="inlineStr">
        <is>
          <t>20</t>
        </is>
      </c>
      <c r="G147" s="26" t="inlineStr">
        <is>
          <t>Not consumable</t>
        </is>
      </c>
      <c r="H147" s="24" t="inlineStr">
        <is>
          <t>Durable equipment / spare component</t>
        </is>
      </c>
      <c r="I147" t="inlineStr">
        <is>
          <t>Badri</t>
        </is>
      </c>
      <c r="J147" t="inlineStr">
        <is>
          <t>India</t>
        </is>
      </c>
      <c r="K147" t="inlineStr">
        <is>
          <t>No</t>
        </is>
      </c>
      <c r="M147" t="inlineStr">
        <is>
          <t>PR Raised</t>
        </is>
      </c>
      <c r="N147" t="inlineStr">
        <is>
          <t>Mobile (travels with robot)</t>
        </is>
      </c>
    </row>
    <row r="148">
      <c r="A148" t="n">
        <v>147</v>
      </c>
      <c r="B148" t="n">
        <v>13</v>
      </c>
      <c r="C148" t="inlineStr">
        <is>
          <t>Wire, connector, cables &amp; crimps</t>
        </is>
      </c>
      <c r="D148" t="inlineStr">
        <is>
          <t>13-D Connectors - JST &amp; Headers</t>
        </is>
      </c>
      <c r="E148" s="24" t="inlineStr">
        <is>
          <t>Connector - JST XA Housing, 8-pin (XAP-08V-1)</t>
        </is>
      </c>
      <c r="F148" t="inlineStr">
        <is>
          <t>20</t>
        </is>
      </c>
      <c r="G148" s="26" t="inlineStr">
        <is>
          <t>Not consumable</t>
        </is>
      </c>
      <c r="H148" s="24" t="inlineStr">
        <is>
          <t>Durable equipment / spare component</t>
        </is>
      </c>
      <c r="I148" t="inlineStr">
        <is>
          <t>Badri</t>
        </is>
      </c>
      <c r="J148" t="inlineStr">
        <is>
          <t>India</t>
        </is>
      </c>
      <c r="K148" t="inlineStr">
        <is>
          <t>No</t>
        </is>
      </c>
      <c r="M148" t="inlineStr">
        <is>
          <t>PR Raised</t>
        </is>
      </c>
      <c r="N148" t="inlineStr">
        <is>
          <t>Mobile (travels with robot)</t>
        </is>
      </c>
    </row>
    <row r="149">
      <c r="A149" t="n">
        <v>148</v>
      </c>
      <c r="B149" t="n">
        <v>13</v>
      </c>
      <c r="C149" t="inlineStr">
        <is>
          <t>Wire, connector, cables &amp; crimps</t>
        </is>
      </c>
      <c r="D149" t="inlineStr">
        <is>
          <t>13-D Connectors - JST &amp; Headers</t>
        </is>
      </c>
      <c r="E149" s="24" t="inlineStr">
        <is>
          <t>Connector - JST XA Housing, 9-pin (XAP-09V-1)</t>
        </is>
      </c>
      <c r="F149" t="inlineStr">
        <is>
          <t>20</t>
        </is>
      </c>
      <c r="G149" s="26" t="inlineStr">
        <is>
          <t>Not consumable</t>
        </is>
      </c>
      <c r="H149" s="24" t="inlineStr">
        <is>
          <t>Durable equipment / spare component</t>
        </is>
      </c>
      <c r="I149" t="inlineStr">
        <is>
          <t>Badri</t>
        </is>
      </c>
      <c r="J149" t="inlineStr">
        <is>
          <t>India</t>
        </is>
      </c>
      <c r="K149" t="inlineStr">
        <is>
          <t>No</t>
        </is>
      </c>
      <c r="M149" t="inlineStr">
        <is>
          <t>PR Raised</t>
        </is>
      </c>
      <c r="N149" t="inlineStr">
        <is>
          <t>Mobile (travels with robot)</t>
        </is>
      </c>
    </row>
    <row r="150">
      <c r="A150" t="n">
        <v>149</v>
      </c>
      <c r="B150" t="n">
        <v>13</v>
      </c>
      <c r="C150" t="inlineStr">
        <is>
          <t>Wire, connector, cables &amp; crimps</t>
        </is>
      </c>
      <c r="D150" t="inlineStr">
        <is>
          <t>13-D Connectors - JST &amp; Headers</t>
        </is>
      </c>
      <c r="E150" s="24" t="inlineStr">
        <is>
          <t>Connector - JST XA Housing, 10-pin (XAP-10V-1)</t>
        </is>
      </c>
      <c r="F150" t="inlineStr">
        <is>
          <t>20</t>
        </is>
      </c>
      <c r="G150" s="26" t="inlineStr">
        <is>
          <t>Not consumable</t>
        </is>
      </c>
      <c r="H150" s="24" t="inlineStr">
        <is>
          <t>Durable equipment / spare component</t>
        </is>
      </c>
      <c r="I150" t="inlineStr">
        <is>
          <t>Badri</t>
        </is>
      </c>
      <c r="J150" t="inlineStr">
        <is>
          <t>India</t>
        </is>
      </c>
      <c r="K150" t="inlineStr">
        <is>
          <t>No</t>
        </is>
      </c>
      <c r="M150" t="inlineStr">
        <is>
          <t>PR Raised</t>
        </is>
      </c>
      <c r="N150" t="inlineStr">
        <is>
          <t>Mobile (travels with robot)</t>
        </is>
      </c>
    </row>
    <row r="151">
      <c r="A151" t="n">
        <v>150</v>
      </c>
      <c r="B151" t="n">
        <v>13</v>
      </c>
      <c r="C151" t="inlineStr">
        <is>
          <t>Wire, connector, cables &amp; crimps</t>
        </is>
      </c>
      <c r="D151" t="inlineStr">
        <is>
          <t>13-I Crimps, Ferrules &amp; Lugs</t>
        </is>
      </c>
      <c r="E151" s="24" t="inlineStr">
        <is>
          <t>Crimp - JST XA Female (SXA-001T-P0.6)</t>
        </is>
      </c>
      <c r="F151" t="inlineStr">
        <is>
          <t>200.0</t>
        </is>
      </c>
      <c r="G151" s="25" t="inlineStr">
        <is>
          <t>Consumable</t>
        </is>
      </c>
      <c r="H151" s="24" t="inlineStr">
        <is>
          <t>Crimp terminal - single-use once crimped</t>
        </is>
      </c>
      <c r="I151" t="inlineStr">
        <is>
          <t>Badri</t>
        </is>
      </c>
      <c r="J151" t="inlineStr">
        <is>
          <t>India</t>
        </is>
      </c>
      <c r="K151" t="inlineStr">
        <is>
          <t>No</t>
        </is>
      </c>
      <c r="M151" t="inlineStr">
        <is>
          <t>PR Raised</t>
        </is>
      </c>
    </row>
    <row r="152">
      <c r="A152" t="n">
        <v>151</v>
      </c>
      <c r="B152" t="n">
        <v>13</v>
      </c>
      <c r="C152" t="inlineStr">
        <is>
          <t>Wire, connector, cables &amp; crimps</t>
        </is>
      </c>
      <c r="D152" t="inlineStr">
        <is>
          <t>13-D Connectors - JST &amp; Headers</t>
        </is>
      </c>
      <c r="E152" s="24" t="inlineStr">
        <is>
          <t>Jumper Cap - 2.54 mm, 2-pin</t>
        </is>
      </c>
      <c r="F152" t="inlineStr">
        <is>
          <t>10</t>
        </is>
      </c>
      <c r="G152" s="26" t="inlineStr">
        <is>
          <t>Not consumable</t>
        </is>
      </c>
      <c r="H152" s="24" t="inlineStr">
        <is>
          <t>Durable equipment / spare component</t>
        </is>
      </c>
      <c r="I152" t="inlineStr">
        <is>
          <t>Badri</t>
        </is>
      </c>
      <c r="J152" t="inlineStr">
        <is>
          <t>India</t>
        </is>
      </c>
      <c r="K152" t="inlineStr">
        <is>
          <t>No</t>
        </is>
      </c>
      <c r="M152" t="inlineStr">
        <is>
          <t>PR Raised</t>
        </is>
      </c>
      <c r="N152" t="inlineStr">
        <is>
          <t>Mobile (travels with robot)</t>
        </is>
      </c>
    </row>
    <row r="153">
      <c r="A153" t="n">
        <v>152</v>
      </c>
      <c r="B153" t="n">
        <v>13</v>
      </c>
      <c r="C153" t="inlineStr">
        <is>
          <t>Wire, connector, cables &amp; crimps</t>
        </is>
      </c>
      <c r="D153" t="inlineStr">
        <is>
          <t>13-D Connectors - JST &amp; Headers</t>
        </is>
      </c>
      <c r="E153" s="24" t="inlineStr">
        <is>
          <t>Connector - JST SM Housing, 2-pin Male</t>
        </is>
      </c>
      <c r="F153" t="inlineStr">
        <is>
          <t>10</t>
        </is>
      </c>
      <c r="G153" s="26" t="inlineStr">
        <is>
          <t>Not consumable</t>
        </is>
      </c>
      <c r="H153" s="24" t="inlineStr">
        <is>
          <t>Durable equipment / spare component</t>
        </is>
      </c>
      <c r="I153" t="inlineStr">
        <is>
          <t>Badri</t>
        </is>
      </c>
      <c r="J153" t="inlineStr">
        <is>
          <t>India</t>
        </is>
      </c>
      <c r="K153" t="inlineStr">
        <is>
          <t>No</t>
        </is>
      </c>
      <c r="M153" t="inlineStr">
        <is>
          <t>PR Raised</t>
        </is>
      </c>
      <c r="N153" t="inlineStr">
        <is>
          <t>Mobile (travels with robot)</t>
        </is>
      </c>
    </row>
    <row r="154">
      <c r="A154" t="n">
        <v>153</v>
      </c>
      <c r="B154" t="n">
        <v>13</v>
      </c>
      <c r="C154" t="inlineStr">
        <is>
          <t>Wire, connector, cables &amp; crimps</t>
        </is>
      </c>
      <c r="D154" t="inlineStr">
        <is>
          <t>13-D Connectors - JST &amp; Headers</t>
        </is>
      </c>
      <c r="E154" s="24" t="inlineStr">
        <is>
          <t>Connector - JST SM Housing, 2-pin Female</t>
        </is>
      </c>
      <c r="F154" t="inlineStr">
        <is>
          <t>10</t>
        </is>
      </c>
      <c r="G154" s="26" t="inlineStr">
        <is>
          <t>Not consumable</t>
        </is>
      </c>
      <c r="H154" s="24" t="inlineStr">
        <is>
          <t>Durable equipment / spare component</t>
        </is>
      </c>
      <c r="I154" t="inlineStr">
        <is>
          <t>Badri</t>
        </is>
      </c>
      <c r="J154" t="inlineStr">
        <is>
          <t>India</t>
        </is>
      </c>
      <c r="K154" t="inlineStr">
        <is>
          <t>No</t>
        </is>
      </c>
      <c r="M154" t="inlineStr">
        <is>
          <t>PR Raised</t>
        </is>
      </c>
      <c r="N154" t="inlineStr">
        <is>
          <t>Mobile (travels with robot)</t>
        </is>
      </c>
    </row>
    <row r="155">
      <c r="A155" t="n">
        <v>154</v>
      </c>
      <c r="B155" t="n">
        <v>13</v>
      </c>
      <c r="C155" t="inlineStr">
        <is>
          <t>Wire, connector, cables &amp; crimps</t>
        </is>
      </c>
      <c r="D155" t="inlineStr">
        <is>
          <t>13-D Connectors - JST &amp; Headers</t>
        </is>
      </c>
      <c r="E155" s="24" t="inlineStr">
        <is>
          <t>Connector - JST SM Housing, 4-pin Male</t>
        </is>
      </c>
      <c r="F155" t="inlineStr">
        <is>
          <t>10</t>
        </is>
      </c>
      <c r="G155" s="26" t="inlineStr">
        <is>
          <t>Not consumable</t>
        </is>
      </c>
      <c r="H155" s="24" t="inlineStr">
        <is>
          <t>Durable equipment / spare component</t>
        </is>
      </c>
      <c r="I155" t="inlineStr">
        <is>
          <t>Badri</t>
        </is>
      </c>
      <c r="J155" t="inlineStr">
        <is>
          <t>India</t>
        </is>
      </c>
      <c r="K155" t="inlineStr">
        <is>
          <t>No</t>
        </is>
      </c>
      <c r="M155" t="inlineStr">
        <is>
          <t>IQC Stage</t>
        </is>
      </c>
      <c r="N155" t="inlineStr">
        <is>
          <t>Mobile (travels with robot)</t>
        </is>
      </c>
    </row>
    <row r="156">
      <c r="A156" t="n">
        <v>155</v>
      </c>
      <c r="B156" t="n">
        <v>13</v>
      </c>
      <c r="C156" t="inlineStr">
        <is>
          <t>Wire, connector, cables &amp; crimps</t>
        </is>
      </c>
      <c r="D156" t="inlineStr">
        <is>
          <t>13-D Connectors - JST &amp; Headers</t>
        </is>
      </c>
      <c r="E156" s="24" t="inlineStr">
        <is>
          <t>Connector - JST SM Housing, 4-pin Female</t>
        </is>
      </c>
      <c r="F156" t="inlineStr">
        <is>
          <t>10</t>
        </is>
      </c>
      <c r="G156" s="26" t="inlineStr">
        <is>
          <t>Not consumable</t>
        </is>
      </c>
      <c r="H156" s="24" t="inlineStr">
        <is>
          <t>Durable equipment / spare component</t>
        </is>
      </c>
      <c r="I156" t="inlineStr">
        <is>
          <t>Badri</t>
        </is>
      </c>
      <c r="J156" t="inlineStr">
        <is>
          <t>India</t>
        </is>
      </c>
      <c r="K156" t="inlineStr">
        <is>
          <t>No</t>
        </is>
      </c>
      <c r="M156" t="inlineStr">
        <is>
          <t>PR Raised</t>
        </is>
      </c>
      <c r="N156" t="inlineStr">
        <is>
          <t>Mobile (travels with robot)</t>
        </is>
      </c>
    </row>
    <row r="157">
      <c r="A157" t="n">
        <v>156</v>
      </c>
      <c r="B157" t="n">
        <v>13</v>
      </c>
      <c r="C157" t="inlineStr">
        <is>
          <t>Wire, connector, cables &amp; crimps</t>
        </is>
      </c>
      <c r="D157" t="inlineStr">
        <is>
          <t>13-D Connectors - JST &amp; Headers</t>
        </is>
      </c>
      <c r="E157" s="24" t="inlineStr">
        <is>
          <t>Connector - JST XH Connector, 4-pin Female, 1.25mm pitch</t>
        </is>
      </c>
      <c r="F157" t="inlineStr">
        <is>
          <t>10</t>
        </is>
      </c>
      <c r="G157" s="26" t="inlineStr">
        <is>
          <t>Not consumable</t>
        </is>
      </c>
      <c r="H157" s="24" t="inlineStr">
        <is>
          <t>Durable equipment / spare component</t>
        </is>
      </c>
      <c r="I157" t="inlineStr">
        <is>
          <t>Badri</t>
        </is>
      </c>
      <c r="J157" t="inlineStr">
        <is>
          <t>India</t>
        </is>
      </c>
      <c r="K157" t="inlineStr">
        <is>
          <t>No</t>
        </is>
      </c>
      <c r="M157" t="inlineStr">
        <is>
          <t>PR Raised</t>
        </is>
      </c>
      <c r="N157" t="inlineStr">
        <is>
          <t>Mobile (travels with robot)</t>
        </is>
      </c>
    </row>
    <row r="158">
      <c r="A158" t="n">
        <v>157</v>
      </c>
      <c r="B158" t="n">
        <v>13</v>
      </c>
      <c r="C158" t="inlineStr">
        <is>
          <t>Diagnostic &amp; repair tools</t>
        </is>
      </c>
      <c r="D158" t="inlineStr">
        <is>
          <t>13-D Connectors - JST &amp; Headers</t>
        </is>
      </c>
      <c r="E158" s="24" t="inlineStr">
        <is>
          <t>Jumper Cap - 2.54 mm</t>
        </is>
      </c>
      <c r="F158" t="inlineStr">
        <is>
          <t>5</t>
        </is>
      </c>
      <c r="G158" s="26" t="inlineStr">
        <is>
          <t>Not consumable</t>
        </is>
      </c>
      <c r="H158" s="24" t="inlineStr">
        <is>
          <t>Durable equipment / spare component</t>
        </is>
      </c>
      <c r="I158" t="inlineStr">
        <is>
          <t>Aravind</t>
        </is>
      </c>
      <c r="J158" t="inlineStr">
        <is>
          <t>India</t>
        </is>
      </c>
      <c r="K158" t="inlineStr">
        <is>
          <t>No</t>
        </is>
      </c>
      <c r="M158" t="inlineStr">
        <is>
          <t>To be Prepared</t>
        </is>
      </c>
    </row>
    <row r="159">
      <c r="A159" t="n">
        <v>158</v>
      </c>
      <c r="B159" t="n">
        <v>13</v>
      </c>
      <c r="C159" t="inlineStr">
        <is>
          <t>Wire, connector, cables &amp; crimps</t>
        </is>
      </c>
      <c r="D159" t="inlineStr">
        <is>
          <t>13-E Connectors - Power</t>
        </is>
      </c>
      <c r="E159" s="24" t="inlineStr">
        <is>
          <t>Connector - XT30, Male</t>
        </is>
      </c>
      <c r="F159" t="inlineStr">
        <is>
          <t>15.0</t>
        </is>
      </c>
      <c r="G159" s="26" t="inlineStr">
        <is>
          <t>Not consumable</t>
        </is>
      </c>
      <c r="H159" s="24" t="inlineStr">
        <is>
          <t>Durable equipment / spare component</t>
        </is>
      </c>
      <c r="I159" t="inlineStr">
        <is>
          <t>Badri</t>
        </is>
      </c>
      <c r="J159" t="inlineStr">
        <is>
          <t>India</t>
        </is>
      </c>
      <c r="K159" t="inlineStr">
        <is>
          <t>No</t>
        </is>
      </c>
      <c r="M159" t="inlineStr">
        <is>
          <t>In stock</t>
        </is>
      </c>
      <c r="N159" t="inlineStr">
        <is>
          <t>Mobile (travels with robot)</t>
        </is>
      </c>
    </row>
    <row r="160">
      <c r="A160" t="n">
        <v>159</v>
      </c>
      <c r="B160" t="n">
        <v>13</v>
      </c>
      <c r="C160" t="inlineStr">
        <is>
          <t>Wire, connector, cables &amp; crimps</t>
        </is>
      </c>
      <c r="D160" t="inlineStr">
        <is>
          <t>13-E Connectors - Power</t>
        </is>
      </c>
      <c r="E160" s="24" t="inlineStr">
        <is>
          <t>Connector - XT30, Female</t>
        </is>
      </c>
      <c r="F160" t="inlineStr">
        <is>
          <t>15.0</t>
        </is>
      </c>
      <c r="G160" s="26" t="inlineStr">
        <is>
          <t>Not consumable</t>
        </is>
      </c>
      <c r="H160" s="24" t="inlineStr">
        <is>
          <t>Durable equipment / spare component</t>
        </is>
      </c>
      <c r="I160" t="inlineStr">
        <is>
          <t>Badri</t>
        </is>
      </c>
      <c r="J160" t="inlineStr">
        <is>
          <t>India</t>
        </is>
      </c>
      <c r="K160" t="inlineStr">
        <is>
          <t>No</t>
        </is>
      </c>
      <c r="M160" t="inlineStr">
        <is>
          <t>In stock</t>
        </is>
      </c>
      <c r="N160" t="inlineStr">
        <is>
          <t>Mobile (travels with robot)</t>
        </is>
      </c>
    </row>
    <row r="161">
      <c r="A161" t="n">
        <v>160</v>
      </c>
      <c r="B161" t="n">
        <v>2</v>
      </c>
      <c r="C161" t="inlineStr">
        <is>
          <t>Bringup Kit</t>
        </is>
      </c>
      <c r="D161" t="inlineStr">
        <is>
          <t>13-F Connectors - Circular</t>
        </is>
      </c>
      <c r="E161" s="24" t="inlineStr">
        <is>
          <t>SBH OST Tool AC to DC Cable</t>
        </is>
      </c>
      <c r="F161" t="inlineStr">
        <is>
          <t>1</t>
        </is>
      </c>
      <c r="G161" s="26" t="inlineStr">
        <is>
          <t>Not consumable</t>
        </is>
      </c>
      <c r="H161" s="24" t="inlineStr">
        <is>
          <t>Durable equipment / spare component</t>
        </is>
      </c>
      <c r="I161" t="inlineStr">
        <is>
          <t>Badri</t>
        </is>
      </c>
      <c r="J161" t="inlineStr">
        <is>
          <t>India</t>
        </is>
      </c>
      <c r="K161" t="inlineStr">
        <is>
          <t>No</t>
        </is>
      </c>
      <c r="M161" t="inlineStr">
        <is>
          <t>In stock</t>
        </is>
      </c>
      <c r="N161" t="inlineStr">
        <is>
          <t>Mobile (travels with robot)</t>
        </is>
      </c>
    </row>
    <row r="162">
      <c r="A162" t="n">
        <v>161</v>
      </c>
      <c r="B162" t="n">
        <v>13</v>
      </c>
      <c r="C162" t="inlineStr">
        <is>
          <t>Wire, connector, cables &amp; crimps</t>
        </is>
      </c>
      <c r="D162" t="inlineStr">
        <is>
          <t>13-F Connectors - Circular</t>
        </is>
      </c>
      <c r="E162" s="24" t="inlineStr">
        <is>
          <t>Connector - DC Barrel Jack, 5 mm Male - Orin power</t>
        </is>
      </c>
      <c r="F162" t="inlineStr">
        <is>
          <t>3</t>
        </is>
      </c>
      <c r="G162" s="26" t="inlineStr">
        <is>
          <t>Not consumable</t>
        </is>
      </c>
      <c r="H162" s="24" t="inlineStr">
        <is>
          <t>Durable equipment / spare component</t>
        </is>
      </c>
      <c r="I162" t="inlineStr">
        <is>
          <t>Uttez</t>
        </is>
      </c>
      <c r="J162" t="inlineStr">
        <is>
          <t>India</t>
        </is>
      </c>
      <c r="K162" t="inlineStr">
        <is>
          <t>No</t>
        </is>
      </c>
      <c r="M162" t="inlineStr">
        <is>
          <t>In stock</t>
        </is>
      </c>
      <c r="N162" t="inlineStr">
        <is>
          <t>Mobile (travels with robot)</t>
        </is>
      </c>
    </row>
    <row r="163">
      <c r="A163" t="n">
        <v>162</v>
      </c>
      <c r="B163" t="n">
        <v>13</v>
      </c>
      <c r="C163" t="inlineStr">
        <is>
          <t>Wire, connector, cables &amp; crimps</t>
        </is>
      </c>
      <c r="D163" t="inlineStr">
        <is>
          <t>13-F Connectors - Circular</t>
        </is>
      </c>
      <c r="E163" s="24" t="inlineStr">
        <is>
          <t>Connector - Circular DH-24 RJ45 Male Plug, DH-24-C/RJ45/015/PE-43-001 -LP-20-C08PE-01-051 Sander, Sprayer wire set</t>
        </is>
      </c>
      <c r="F163" t="inlineStr">
        <is>
          <t>2.0</t>
        </is>
      </c>
      <c r="G163" s="26" t="inlineStr">
        <is>
          <t>Not consumable</t>
        </is>
      </c>
      <c r="H163" s="24" t="inlineStr">
        <is>
          <t>Durable equipment / spare component</t>
        </is>
      </c>
      <c r="I163" t="inlineStr">
        <is>
          <t>Uttez</t>
        </is>
      </c>
      <c r="J163" t="inlineStr">
        <is>
          <t>India</t>
        </is>
      </c>
      <c r="K163" t="inlineStr">
        <is>
          <t>No</t>
        </is>
      </c>
      <c r="M163" t="inlineStr">
        <is>
          <t>In stock</t>
        </is>
      </c>
      <c r="N163" t="inlineStr">
        <is>
          <t>Mobile (travels with robot)</t>
        </is>
      </c>
    </row>
    <row r="164">
      <c r="A164" t="n">
        <v>163</v>
      </c>
      <c r="B164" t="n">
        <v>13</v>
      </c>
      <c r="C164" t="inlineStr">
        <is>
          <t>Wire, connector, cables &amp; crimps</t>
        </is>
      </c>
      <c r="D164" t="inlineStr">
        <is>
          <t>13-F Connectors - Circular</t>
        </is>
      </c>
      <c r="E164" s="24" t="inlineStr">
        <is>
          <t>Connector - Circular M8 A-Code, 8-pin - camera trigger</t>
        </is>
      </c>
      <c r="F164" t="inlineStr">
        <is>
          <t>3</t>
        </is>
      </c>
      <c r="G164" s="26" t="inlineStr">
        <is>
          <t>Not consumable</t>
        </is>
      </c>
      <c r="H164" s="24" t="inlineStr">
        <is>
          <t>Durable equipment / spare component</t>
        </is>
      </c>
      <c r="I164" t="inlineStr">
        <is>
          <t>Uttez</t>
        </is>
      </c>
      <c r="J164" t="inlineStr">
        <is>
          <t>India</t>
        </is>
      </c>
      <c r="K164" t="inlineStr">
        <is>
          <t>No</t>
        </is>
      </c>
      <c r="L164" t="inlineStr">
        <is>
          <t>PR-2026-1527</t>
        </is>
      </c>
      <c r="M164" t="inlineStr">
        <is>
          <t>Payment Done</t>
        </is>
      </c>
      <c r="N164" t="inlineStr">
        <is>
          <t>Mobile (travels with robot)</t>
        </is>
      </c>
    </row>
    <row r="165">
      <c r="A165" t="n">
        <v>164</v>
      </c>
      <c r="B165" t="n">
        <v>13</v>
      </c>
      <c r="C165" t="inlineStr">
        <is>
          <t>Wire, connector, cables &amp; crimps</t>
        </is>
      </c>
      <c r="D165" t="inlineStr">
        <is>
          <t>13-F Connectors - Circular</t>
        </is>
      </c>
      <c r="E165" s="24" t="inlineStr">
        <is>
          <t>Connector - Circular LP-16, 8-pin Male Plug, LP-16-C08PE-01-001 - TS sander DC interaction + CAN</t>
        </is>
      </c>
      <c r="F165" t="inlineStr">
        <is>
          <t>2.0</t>
        </is>
      </c>
      <c r="G165" s="26" t="inlineStr">
        <is>
          <t>Not consumable</t>
        </is>
      </c>
      <c r="H165" s="24" t="inlineStr">
        <is>
          <t>Durable equipment / spare component</t>
        </is>
      </c>
      <c r="I165" t="inlineStr">
        <is>
          <t>Uttez</t>
        </is>
      </c>
      <c r="J165" t="inlineStr">
        <is>
          <t>India</t>
        </is>
      </c>
      <c r="K165" t="inlineStr">
        <is>
          <t>No</t>
        </is>
      </c>
      <c r="M165" t="inlineStr">
        <is>
          <t>In stock</t>
        </is>
      </c>
      <c r="N165" t="inlineStr">
        <is>
          <t>Mobile (travels with robot)</t>
        </is>
      </c>
    </row>
    <row r="166">
      <c r="A166" t="n">
        <v>165</v>
      </c>
      <c r="B166" t="n">
        <v>13</v>
      </c>
      <c r="C166" t="inlineStr">
        <is>
          <t>Wire, connector, cables &amp; crimps</t>
        </is>
      </c>
      <c r="D166" t="inlineStr">
        <is>
          <t>13-F Connectors - Circular</t>
        </is>
      </c>
      <c r="E166" s="24" t="inlineStr">
        <is>
          <t>Connector - AC 3-pin Male Plug, 51-202311-01 - TS sander AC power</t>
        </is>
      </c>
      <c r="F166" t="inlineStr">
        <is>
          <t>2.0</t>
        </is>
      </c>
      <c r="G166" s="26" t="inlineStr">
        <is>
          <t>Not consumable</t>
        </is>
      </c>
      <c r="H166" s="24" t="inlineStr">
        <is>
          <t>Durable equipment / spare component</t>
        </is>
      </c>
      <c r="I166" t="inlineStr">
        <is>
          <t>Uttez</t>
        </is>
      </c>
      <c r="J166" t="inlineStr">
        <is>
          <t>India</t>
        </is>
      </c>
      <c r="K166" t="inlineStr">
        <is>
          <t>Yes</t>
        </is>
      </c>
      <c r="L166" t="inlineStr">
        <is>
          <t>PR-2026-1628</t>
        </is>
      </c>
      <c r="M166" t="inlineStr">
        <is>
          <t>IQC Stage</t>
        </is>
      </c>
      <c r="N166" t="inlineStr">
        <is>
          <t>Mobile (travels with robot)</t>
        </is>
      </c>
    </row>
    <row r="167">
      <c r="A167" t="n">
        <v>166</v>
      </c>
      <c r="B167" t="n">
        <v>13</v>
      </c>
      <c r="C167" t="inlineStr">
        <is>
          <t>Wire, connector, cables &amp; crimps</t>
        </is>
      </c>
      <c r="D167" t="inlineStr">
        <is>
          <t>13-G Connectors - RJ45 &amp; DB9</t>
        </is>
      </c>
      <c r="E167" s="24" t="inlineStr">
        <is>
          <t>Connector - Ethernet RJ45 Male (field termination)</t>
        </is>
      </c>
      <c r="F167" t="inlineStr">
        <is>
          <t>1</t>
        </is>
      </c>
      <c r="G167" s="27" t="inlineStr">
        <is>
          <t>Borderline</t>
        </is>
      </c>
      <c r="H167" s="24" t="inlineStr">
        <is>
          <t>Field-termination plug/boot - destroyed on removal, stocked like a consumable</t>
        </is>
      </c>
      <c r="I167" t="inlineStr">
        <is>
          <t>Uttez</t>
        </is>
      </c>
      <c r="J167" t="inlineStr">
        <is>
          <t>India</t>
        </is>
      </c>
      <c r="K167" t="inlineStr">
        <is>
          <t>No</t>
        </is>
      </c>
      <c r="M167" t="inlineStr">
        <is>
          <t>In stock</t>
        </is>
      </c>
      <c r="N167" t="inlineStr">
        <is>
          <t>Mobile (travels with robot)</t>
        </is>
      </c>
    </row>
    <row r="168">
      <c r="A168" t="n">
        <v>167</v>
      </c>
      <c r="B168" t="n">
        <v>13</v>
      </c>
      <c r="C168" t="inlineStr">
        <is>
          <t>Wire, connector, cables &amp; crimps</t>
        </is>
      </c>
      <c r="D168" t="inlineStr">
        <is>
          <t>13-G Connectors - RJ45 &amp; DB9</t>
        </is>
      </c>
      <c r="E168" s="24" t="inlineStr">
        <is>
          <t>Connector - RJ45 Cat 6, CE6324</t>
        </is>
      </c>
      <c r="F168" t="inlineStr">
        <is>
          <t>20</t>
        </is>
      </c>
      <c r="G168" s="27" t="inlineStr">
        <is>
          <t>Borderline</t>
        </is>
      </c>
      <c r="H168" s="24" t="inlineStr">
        <is>
          <t>Field-termination plug/boot - destroyed on removal, stocked like a consumable</t>
        </is>
      </c>
      <c r="I168" t="inlineStr">
        <is>
          <t>Badri</t>
        </is>
      </c>
      <c r="J168" t="inlineStr">
        <is>
          <t>India</t>
        </is>
      </c>
      <c r="K168" t="inlineStr">
        <is>
          <t>No</t>
        </is>
      </c>
      <c r="M168" t="inlineStr">
        <is>
          <t>PR Raised</t>
        </is>
      </c>
      <c r="N168" t="inlineStr">
        <is>
          <t>Mobile (travels with robot)</t>
        </is>
      </c>
    </row>
    <row r="169">
      <c r="A169" t="n">
        <v>168</v>
      </c>
      <c r="B169" t="n">
        <v>13</v>
      </c>
      <c r="C169" t="inlineStr">
        <is>
          <t>Wire, connector, cables &amp; crimps</t>
        </is>
      </c>
      <c r="D169" t="inlineStr">
        <is>
          <t>13-G Connectors - RJ45 &amp; DB9</t>
        </is>
      </c>
      <c r="E169" s="24" t="inlineStr">
        <is>
          <t>Boot Cap - RJ45, CE6324</t>
        </is>
      </c>
      <c r="F169" t="inlineStr">
        <is>
          <t>20</t>
        </is>
      </c>
      <c r="G169" s="27" t="inlineStr">
        <is>
          <t>Borderline</t>
        </is>
      </c>
      <c r="H169" s="24" t="inlineStr">
        <is>
          <t>Field-termination plug/boot - destroyed on removal, stocked like a consumable</t>
        </is>
      </c>
      <c r="I169" t="inlineStr">
        <is>
          <t>Badri</t>
        </is>
      </c>
      <c r="J169" t="inlineStr">
        <is>
          <t>India</t>
        </is>
      </c>
      <c r="K169" t="inlineStr">
        <is>
          <t>No</t>
        </is>
      </c>
      <c r="M169" t="inlineStr">
        <is>
          <t>PR Raised</t>
        </is>
      </c>
      <c r="N169" t="inlineStr">
        <is>
          <t>Mobile (travels with robot)</t>
        </is>
      </c>
    </row>
    <row r="170">
      <c r="A170" t="n">
        <v>169</v>
      </c>
      <c r="B170" t="n">
        <v>13</v>
      </c>
      <c r="C170" t="inlineStr">
        <is>
          <t>Wire, connector, cables &amp; crimps</t>
        </is>
      </c>
      <c r="D170" t="inlineStr">
        <is>
          <t>13-G Connectors - RJ45 &amp; DB9</t>
        </is>
      </c>
      <c r="E170" s="24" t="inlineStr">
        <is>
          <t>Connector - RJ45 Cat 7, FEDUS-CAT7</t>
        </is>
      </c>
      <c r="F170" t="inlineStr">
        <is>
          <t>20</t>
        </is>
      </c>
      <c r="G170" s="27" t="inlineStr">
        <is>
          <t>Borderline</t>
        </is>
      </c>
      <c r="H170" s="24" t="inlineStr">
        <is>
          <t>Field-termination plug/boot - destroyed on removal, stocked like a consumable</t>
        </is>
      </c>
      <c r="I170" t="inlineStr">
        <is>
          <t>Badri</t>
        </is>
      </c>
      <c r="J170" t="inlineStr">
        <is>
          <t>India</t>
        </is>
      </c>
      <c r="K170" t="inlineStr">
        <is>
          <t>No</t>
        </is>
      </c>
      <c r="M170" t="inlineStr">
        <is>
          <t>PR Raised</t>
        </is>
      </c>
      <c r="N170" t="inlineStr">
        <is>
          <t>Mobile (travels with robot)</t>
        </is>
      </c>
    </row>
    <row r="171">
      <c r="A171" t="n">
        <v>170</v>
      </c>
      <c r="B171" t="n">
        <v>13</v>
      </c>
      <c r="C171" t="inlineStr">
        <is>
          <t>Wire, connector, cables &amp; crimps</t>
        </is>
      </c>
      <c r="D171" t="inlineStr">
        <is>
          <t>13-G Connectors - RJ45 &amp; DB9</t>
        </is>
      </c>
      <c r="E171" s="24" t="inlineStr">
        <is>
          <t>Boot Cap - RJ45, Silicone</t>
        </is>
      </c>
      <c r="F171" t="inlineStr">
        <is>
          <t>20</t>
        </is>
      </c>
      <c r="G171" s="27" t="inlineStr">
        <is>
          <t>Borderline</t>
        </is>
      </c>
      <c r="H171" s="24" t="inlineStr">
        <is>
          <t>Field-termination plug/boot - destroyed on removal, stocked like a consumable</t>
        </is>
      </c>
      <c r="I171" t="inlineStr">
        <is>
          <t>Badri</t>
        </is>
      </c>
      <c r="J171" t="inlineStr">
        <is>
          <t>India</t>
        </is>
      </c>
      <c r="K171" t="inlineStr">
        <is>
          <t>No</t>
        </is>
      </c>
      <c r="M171" t="inlineStr">
        <is>
          <t>In stock</t>
        </is>
      </c>
      <c r="N171" t="inlineStr">
        <is>
          <t>Mobile (travels with robot)</t>
        </is>
      </c>
    </row>
    <row r="172">
      <c r="A172" t="n">
        <v>171</v>
      </c>
      <c r="B172" t="n">
        <v>13</v>
      </c>
      <c r="C172" t="inlineStr">
        <is>
          <t>Wire, connector, cables &amp; crimps</t>
        </is>
      </c>
      <c r="D172" t="inlineStr">
        <is>
          <t>13-G Connectors - RJ45 &amp; DB9</t>
        </is>
      </c>
      <c r="E172" s="24" t="inlineStr">
        <is>
          <t>Connector - DB9 Female, Straight, Solder Type</t>
        </is>
      </c>
      <c r="F172" t="inlineStr">
        <is>
          <t>10</t>
        </is>
      </c>
      <c r="G172" s="26" t="inlineStr">
        <is>
          <t>Not consumable</t>
        </is>
      </c>
      <c r="H172" s="24" t="inlineStr">
        <is>
          <t>Durable equipment / spare component</t>
        </is>
      </c>
      <c r="I172" t="inlineStr">
        <is>
          <t>Badri</t>
        </is>
      </c>
      <c r="J172" t="inlineStr">
        <is>
          <t>India</t>
        </is>
      </c>
      <c r="K172" t="inlineStr">
        <is>
          <t>No</t>
        </is>
      </c>
      <c r="M172" t="inlineStr">
        <is>
          <t>In stock</t>
        </is>
      </c>
      <c r="N172" t="inlineStr">
        <is>
          <t>Mobile (travels with robot)</t>
        </is>
      </c>
    </row>
    <row r="173">
      <c r="A173" t="n">
        <v>172</v>
      </c>
      <c r="B173" t="n">
        <v>13</v>
      </c>
      <c r="C173" t="inlineStr">
        <is>
          <t>Wire, connector, cables &amp; crimps</t>
        </is>
      </c>
      <c r="D173" t="inlineStr">
        <is>
          <t>13-G Connectors - RJ45 &amp; DB9</t>
        </is>
      </c>
      <c r="E173" s="24" t="inlineStr">
        <is>
          <t>Connector - DB9 Housing</t>
        </is>
      </c>
      <c r="F173" t="inlineStr">
        <is>
          <t>10</t>
        </is>
      </c>
      <c r="G173" s="26" t="inlineStr">
        <is>
          <t>Not consumable</t>
        </is>
      </c>
      <c r="H173" s="24" t="inlineStr">
        <is>
          <t>Durable equipment / spare component</t>
        </is>
      </c>
      <c r="I173" t="inlineStr">
        <is>
          <t>Badri</t>
        </is>
      </c>
      <c r="J173" t="inlineStr">
        <is>
          <t>India</t>
        </is>
      </c>
      <c r="K173" t="inlineStr">
        <is>
          <t>No</t>
        </is>
      </c>
      <c r="M173" t="inlineStr">
        <is>
          <t>In stock</t>
        </is>
      </c>
      <c r="N173" t="inlineStr">
        <is>
          <t>Mobile (travels with robot)</t>
        </is>
      </c>
    </row>
    <row r="174">
      <c r="A174" t="n">
        <v>173</v>
      </c>
      <c r="B174" t="n">
        <v>13</v>
      </c>
      <c r="C174" t="inlineStr">
        <is>
          <t>Wire, connector, cables &amp; crimps</t>
        </is>
      </c>
      <c r="D174" t="inlineStr">
        <is>
          <t>13-H Panel Sockets &amp; Panel Mounts</t>
        </is>
      </c>
      <c r="E174" s="24" t="inlineStr">
        <is>
          <t>Panel Socket - Tool AC, 51-102351-01 MoMa &amp; OST</t>
        </is>
      </c>
      <c r="F174" t="inlineStr">
        <is>
          <t>2.0</t>
        </is>
      </c>
      <c r="G174" s="26" t="inlineStr">
        <is>
          <t>Not consumable</t>
        </is>
      </c>
      <c r="H174" s="24" t="inlineStr">
        <is>
          <t>Durable equipment / spare component</t>
        </is>
      </c>
      <c r="I174" t="inlineStr">
        <is>
          <t>Badri</t>
        </is>
      </c>
      <c r="J174" t="inlineStr">
        <is>
          <t>India</t>
        </is>
      </c>
      <c r="K174" t="inlineStr">
        <is>
          <t>Yes</t>
        </is>
      </c>
      <c r="L174" t="inlineStr">
        <is>
          <t>PR-2026-1687</t>
        </is>
      </c>
      <c r="M174" t="inlineStr">
        <is>
          <t>In stock</t>
        </is>
      </c>
      <c r="N174" t="inlineStr">
        <is>
          <t>NY Stationary (stays in NY inventory)</t>
        </is>
      </c>
    </row>
    <row r="175">
      <c r="A175" t="n">
        <v>174</v>
      </c>
      <c r="B175" t="n">
        <v>13</v>
      </c>
      <c r="C175" t="inlineStr">
        <is>
          <t>Wire, connector, cables &amp; crimps</t>
        </is>
      </c>
      <c r="D175" t="inlineStr">
        <is>
          <t>13-H Panel Sockets &amp; Panel Mounts</t>
        </is>
      </c>
      <c r="E175" s="24" t="inlineStr">
        <is>
          <t>Panel Socket - Tool DC COM, LP-16-J08SX-03-401 MoMa &amp; OST</t>
        </is>
      </c>
      <c r="F175" t="inlineStr">
        <is>
          <t>2.0</t>
        </is>
      </c>
      <c r="G175" s="26" t="inlineStr">
        <is>
          <t>Not consumable</t>
        </is>
      </c>
      <c r="H175" s="24" t="inlineStr">
        <is>
          <t>Durable equipment / spare component</t>
        </is>
      </c>
      <c r="I175" t="inlineStr">
        <is>
          <t>Badri</t>
        </is>
      </c>
      <c r="J175" t="inlineStr">
        <is>
          <t>India</t>
        </is>
      </c>
      <c r="K175" t="inlineStr">
        <is>
          <t>Yes</t>
        </is>
      </c>
      <c r="L175" t="inlineStr">
        <is>
          <t>PR-2026-1688</t>
        </is>
      </c>
      <c r="M175" t="inlineStr">
        <is>
          <t>In stock</t>
        </is>
      </c>
      <c r="N175" t="inlineStr">
        <is>
          <t>Mobile (travels with robot)</t>
        </is>
      </c>
    </row>
    <row r="176">
      <c r="A176" t="n">
        <v>175</v>
      </c>
      <c r="B176" t="n">
        <v>13</v>
      </c>
      <c r="C176" t="inlineStr">
        <is>
          <t>Wire, connector, cables &amp; crimps</t>
        </is>
      </c>
      <c r="D176" t="inlineStr">
        <is>
          <t>13-H Panel Sockets &amp; Panel Mounts</t>
        </is>
      </c>
      <c r="E176" s="24" t="inlineStr">
        <is>
          <t>Panel Socket - Ethernet RJ45, DH-24-J/RJ45/213/SX-43-401 - EOA</t>
        </is>
      </c>
      <c r="F176" t="inlineStr">
        <is>
          <t>1</t>
        </is>
      </c>
      <c r="G176" s="26" t="inlineStr">
        <is>
          <t>Not consumable</t>
        </is>
      </c>
      <c r="H176" s="24" t="inlineStr">
        <is>
          <t>Durable equipment / spare component</t>
        </is>
      </c>
      <c r="I176" t="inlineStr">
        <is>
          <t>Badri</t>
        </is>
      </c>
      <c r="J176" t="inlineStr">
        <is>
          <t>India</t>
        </is>
      </c>
      <c r="K176" t="inlineStr">
        <is>
          <t>No</t>
        </is>
      </c>
      <c r="M176" t="inlineStr">
        <is>
          <t>PR Raised</t>
        </is>
      </c>
      <c r="N176" t="inlineStr">
        <is>
          <t>Mobile (travels with robot)</t>
        </is>
      </c>
    </row>
    <row r="177">
      <c r="A177" t="n">
        <v>176</v>
      </c>
      <c r="B177" t="n">
        <v>13</v>
      </c>
      <c r="C177" t="inlineStr">
        <is>
          <t>Wire, connector, cables &amp; crimps</t>
        </is>
      </c>
      <c r="D177" t="inlineStr">
        <is>
          <t>13-H Panel Sockets &amp; Panel Mounts</t>
        </is>
      </c>
      <c r="E177" s="24" t="inlineStr">
        <is>
          <t>Panel Socket - Power LP-20, 8-pin, LP-20-J08SX-03-451 - EOA</t>
        </is>
      </c>
      <c r="F177" t="inlineStr">
        <is>
          <t>1</t>
        </is>
      </c>
      <c r="G177" s="26" t="inlineStr">
        <is>
          <t>Not consumable</t>
        </is>
      </c>
      <c r="H177" s="24" t="inlineStr">
        <is>
          <t>Durable equipment / spare component</t>
        </is>
      </c>
      <c r="I177" t="inlineStr">
        <is>
          <t>Badri</t>
        </is>
      </c>
      <c r="J177" t="inlineStr">
        <is>
          <t>India</t>
        </is>
      </c>
      <c r="K177" t="inlineStr">
        <is>
          <t>Yes</t>
        </is>
      </c>
      <c r="L177" t="inlineStr">
        <is>
          <t>PR-2026-1689</t>
        </is>
      </c>
      <c r="M177" t="inlineStr">
        <is>
          <t>In stock</t>
        </is>
      </c>
      <c r="N177" t="inlineStr">
        <is>
          <t>Mobile (travels with robot)</t>
        </is>
      </c>
    </row>
    <row r="178">
      <c r="A178" t="n">
        <v>177</v>
      </c>
      <c r="B178" t="n">
        <v>13</v>
      </c>
      <c r="C178" t="inlineStr">
        <is>
          <t>Wire, connector, cables &amp; crimps</t>
        </is>
      </c>
      <c r="D178" t="inlineStr">
        <is>
          <t>13-H Panel Sockets &amp; Panel Mounts</t>
        </is>
      </c>
      <c r="E178" s="24" t="inlineStr">
        <is>
          <t>Panel Mount - USB Type-C to Type-C, LP-16-J/TYPEC31 - HHM</t>
        </is>
      </c>
      <c r="F178" t="inlineStr">
        <is>
          <t>1</t>
        </is>
      </c>
      <c r="G178" s="26" t="inlineStr">
        <is>
          <t>Not consumable</t>
        </is>
      </c>
      <c r="H178" s="24" t="inlineStr">
        <is>
          <t>Durable equipment / spare component</t>
        </is>
      </c>
      <c r="I178" t="inlineStr">
        <is>
          <t>Uttez</t>
        </is>
      </c>
      <c r="J178" t="inlineStr">
        <is>
          <t>India</t>
        </is>
      </c>
      <c r="K178" t="inlineStr">
        <is>
          <t>No</t>
        </is>
      </c>
      <c r="M178" t="inlineStr">
        <is>
          <t>In stock</t>
        </is>
      </c>
      <c r="N178" t="inlineStr">
        <is>
          <t>Mobile (travels with robot)</t>
        </is>
      </c>
    </row>
    <row r="179">
      <c r="A179" t="n">
        <v>178</v>
      </c>
      <c r="B179" t="n">
        <v>13</v>
      </c>
      <c r="C179" t="inlineStr">
        <is>
          <t>Wire, connector, cables &amp; crimps</t>
        </is>
      </c>
      <c r="D179" t="inlineStr">
        <is>
          <t>13-H Panel Sockets &amp; Panel Mounts</t>
        </is>
      </c>
      <c r="E179" s="24" t="inlineStr">
        <is>
          <t>Panel Mount - USB to USB, YU-USB3-JSX-01-001 --HHM</t>
        </is>
      </c>
      <c r="F179" t="inlineStr">
        <is>
          <t>1</t>
        </is>
      </c>
      <c r="G179" s="26" t="inlineStr">
        <is>
          <t>Not consumable</t>
        </is>
      </c>
      <c r="H179" s="24" t="inlineStr">
        <is>
          <t>Durable equipment / spare component</t>
        </is>
      </c>
      <c r="I179" t="inlineStr">
        <is>
          <t>Uttez</t>
        </is>
      </c>
      <c r="J179" t="inlineStr">
        <is>
          <t>India</t>
        </is>
      </c>
      <c r="K179" t="inlineStr">
        <is>
          <t>No</t>
        </is>
      </c>
      <c r="M179" t="inlineStr">
        <is>
          <t>In stock</t>
        </is>
      </c>
      <c r="N179" t="inlineStr">
        <is>
          <t>Mobile (travels with robot)</t>
        </is>
      </c>
    </row>
    <row r="180">
      <c r="A180" t="n">
        <v>179</v>
      </c>
      <c r="B180" t="n">
        <v>13</v>
      </c>
      <c r="C180" t="inlineStr">
        <is>
          <t>Wire, connector, cables &amp; crimps</t>
        </is>
      </c>
      <c r="D180" t="inlineStr">
        <is>
          <t>13-H Panel Sockets &amp; Panel Mounts</t>
        </is>
      </c>
      <c r="E180" s="24" t="inlineStr">
        <is>
          <t>Panel Mount - HDMI to HDMI</t>
        </is>
      </c>
      <c r="F180" t="inlineStr">
        <is>
          <t>1</t>
        </is>
      </c>
      <c r="G180" s="26" t="inlineStr">
        <is>
          <t>Not consumable</t>
        </is>
      </c>
      <c r="H180" s="24" t="inlineStr">
        <is>
          <t>Durable equipment / spare component</t>
        </is>
      </c>
      <c r="I180" t="inlineStr">
        <is>
          <t>Uttez</t>
        </is>
      </c>
      <c r="J180" t="inlineStr">
        <is>
          <t>India</t>
        </is>
      </c>
      <c r="K180" t="inlineStr">
        <is>
          <t>No</t>
        </is>
      </c>
      <c r="M180" t="inlineStr">
        <is>
          <t>IQC Stage</t>
        </is>
      </c>
      <c r="N180" t="inlineStr">
        <is>
          <t>Mobile (travels with robot)</t>
        </is>
      </c>
    </row>
    <row r="181">
      <c r="A181" t="n">
        <v>180</v>
      </c>
      <c r="B181" t="n">
        <v>2</v>
      </c>
      <c r="C181" t="inlineStr">
        <is>
          <t>Bringup Kit</t>
        </is>
      </c>
      <c r="D181" t="inlineStr">
        <is>
          <t>13-C Cables - Ethernet &amp; Data</t>
        </is>
      </c>
      <c r="E181" s="24" t="inlineStr">
        <is>
          <t>Cable - USB C to USB C</t>
        </is>
      </c>
      <c r="F181" t="inlineStr">
        <is>
          <t>1</t>
        </is>
      </c>
      <c r="G181" s="26" t="inlineStr">
        <is>
          <t>Not consumable</t>
        </is>
      </c>
      <c r="H181" s="24" t="inlineStr">
        <is>
          <t>Durable equipment / spare component</t>
        </is>
      </c>
      <c r="I181" t="inlineStr">
        <is>
          <t>Uttez</t>
        </is>
      </c>
      <c r="J181" t="inlineStr">
        <is>
          <t>India</t>
        </is>
      </c>
      <c r="K181" t="inlineStr">
        <is>
          <t>No</t>
        </is>
      </c>
      <c r="M181" t="inlineStr">
        <is>
          <t>In stock</t>
        </is>
      </c>
      <c r="N181" t="inlineStr">
        <is>
          <t>Mobile (travels with robot)</t>
        </is>
      </c>
    </row>
    <row r="182">
      <c r="A182" t="n">
        <v>181</v>
      </c>
      <c r="B182" t="n">
        <v>13</v>
      </c>
      <c r="C182" t="inlineStr">
        <is>
          <t>Wire, connector, cables &amp; crimps</t>
        </is>
      </c>
      <c r="D182" t="inlineStr">
        <is>
          <t>13-I Crimps, Ferrules &amp; Lugs</t>
        </is>
      </c>
      <c r="E182" s="24" t="inlineStr">
        <is>
          <t>Filter (3D printed)</t>
        </is>
      </c>
      <c r="F182" t="inlineStr">
        <is>
          <t>10</t>
        </is>
      </c>
      <c r="G182" s="26" t="inlineStr">
        <is>
          <t>Not consumable</t>
        </is>
      </c>
      <c r="H182" s="24" t="inlineStr">
        <is>
          <t>Printed part misfiled under Crimps/Ferrules</t>
        </is>
      </c>
      <c r="I182" t="inlineStr">
        <is>
          <t>Kaustubh</t>
        </is>
      </c>
      <c r="J182" t="inlineStr">
        <is>
          <t>India</t>
        </is>
      </c>
      <c r="K182" t="inlineStr">
        <is>
          <t>No</t>
        </is>
      </c>
      <c r="M182" t="inlineStr">
        <is>
          <t>To be Printed</t>
        </is>
      </c>
      <c r="N182" t="inlineStr">
        <is>
          <t>NY Stationary (stays in NY inventory)</t>
        </is>
      </c>
    </row>
    <row r="183">
      <c r="A183" t="n">
        <v>182</v>
      </c>
      <c r="B183" t="n">
        <v>13</v>
      </c>
      <c r="C183" t="inlineStr">
        <is>
          <t>Wire, connector, cables &amp; crimps</t>
        </is>
      </c>
      <c r="D183" t="inlineStr">
        <is>
          <t>13-I Crimps, Ferrules &amp; Lugs</t>
        </is>
      </c>
      <c r="E183" s="24" t="inlineStr">
        <is>
          <t>Ferrule - Wire End, 4 AWG</t>
        </is>
      </c>
      <c r="F183" t="inlineStr">
        <is>
          <t>12</t>
        </is>
      </c>
      <c r="G183" s="25" t="inlineStr">
        <is>
          <t>Consumable</t>
        </is>
      </c>
      <c r="H183" s="24" t="inlineStr">
        <is>
          <t>Crimp terminal - single-use once crimped</t>
        </is>
      </c>
      <c r="I183" t="inlineStr">
        <is>
          <t>Badri</t>
        </is>
      </c>
      <c r="J183" t="inlineStr">
        <is>
          <t>India</t>
        </is>
      </c>
      <c r="K183" t="inlineStr">
        <is>
          <t>No</t>
        </is>
      </c>
      <c r="M183" t="inlineStr">
        <is>
          <t>In stock</t>
        </is>
      </c>
      <c r="N183" t="inlineStr">
        <is>
          <t>Mobile (travels with robot)</t>
        </is>
      </c>
    </row>
    <row r="184">
      <c r="A184" t="n">
        <v>183</v>
      </c>
      <c r="B184" t="n">
        <v>13</v>
      </c>
      <c r="C184" t="inlineStr">
        <is>
          <t>Wire, connector, cables &amp; crimps</t>
        </is>
      </c>
      <c r="D184" t="inlineStr">
        <is>
          <t>13-I Crimps, Ferrules &amp; Lugs</t>
        </is>
      </c>
      <c r="E184" s="24" t="inlineStr">
        <is>
          <t>Ferrule - Wire End, 6 AWG</t>
        </is>
      </c>
      <c r="F184" t="inlineStr">
        <is>
          <t>12</t>
        </is>
      </c>
      <c r="G184" s="25" t="inlineStr">
        <is>
          <t>Consumable</t>
        </is>
      </c>
      <c r="H184" s="24" t="inlineStr">
        <is>
          <t>Crimp terminal - single-use once crimped</t>
        </is>
      </c>
      <c r="I184" t="inlineStr">
        <is>
          <t>Badri</t>
        </is>
      </c>
      <c r="J184" t="inlineStr">
        <is>
          <t>India</t>
        </is>
      </c>
      <c r="K184" t="inlineStr">
        <is>
          <t>No</t>
        </is>
      </c>
      <c r="M184" t="inlineStr">
        <is>
          <t>In stock</t>
        </is>
      </c>
      <c r="N184" t="inlineStr">
        <is>
          <t>Mobile (travels with robot)</t>
        </is>
      </c>
    </row>
    <row r="185">
      <c r="A185" t="n">
        <v>184</v>
      </c>
      <c r="B185" t="n">
        <v>13</v>
      </c>
      <c r="C185" t="inlineStr">
        <is>
          <t>Wire, connector, cables &amp; crimps</t>
        </is>
      </c>
      <c r="D185" t="inlineStr">
        <is>
          <t>13-I Crimps, Ferrules &amp; Lugs</t>
        </is>
      </c>
      <c r="E185" s="24" t="inlineStr">
        <is>
          <t>Ferrule - Wire End, 8 AWG</t>
        </is>
      </c>
      <c r="F185" t="inlineStr">
        <is>
          <t>12</t>
        </is>
      </c>
      <c r="G185" s="25" t="inlineStr">
        <is>
          <t>Consumable</t>
        </is>
      </c>
      <c r="H185" s="24" t="inlineStr">
        <is>
          <t>Crimp terminal - single-use once crimped</t>
        </is>
      </c>
      <c r="I185" t="inlineStr">
        <is>
          <t>Badri</t>
        </is>
      </c>
      <c r="J185" t="inlineStr">
        <is>
          <t>India</t>
        </is>
      </c>
      <c r="K185" t="inlineStr">
        <is>
          <t>No</t>
        </is>
      </c>
      <c r="M185" t="inlineStr">
        <is>
          <t>In stock</t>
        </is>
      </c>
      <c r="N185" t="inlineStr">
        <is>
          <t>Mobile (travels with robot)</t>
        </is>
      </c>
    </row>
    <row r="186">
      <c r="A186" t="n">
        <v>185</v>
      </c>
      <c r="B186" t="n">
        <v>13</v>
      </c>
      <c r="C186" t="inlineStr">
        <is>
          <t>Wire, connector, cables &amp; crimps</t>
        </is>
      </c>
      <c r="D186" t="inlineStr">
        <is>
          <t>13-I Crimps, Ferrules &amp; Lugs</t>
        </is>
      </c>
      <c r="E186" s="24" t="inlineStr">
        <is>
          <t>Ferrule - Wire End, 10 AWG</t>
        </is>
      </c>
      <c r="F186" t="inlineStr">
        <is>
          <t>12</t>
        </is>
      </c>
      <c r="G186" s="25" t="inlineStr">
        <is>
          <t>Consumable</t>
        </is>
      </c>
      <c r="H186" s="24" t="inlineStr">
        <is>
          <t>Crimp terminal - single-use once crimped</t>
        </is>
      </c>
      <c r="I186" t="inlineStr">
        <is>
          <t>Badri</t>
        </is>
      </c>
      <c r="J186" t="inlineStr">
        <is>
          <t>India</t>
        </is>
      </c>
      <c r="K186" t="inlineStr">
        <is>
          <t>No</t>
        </is>
      </c>
      <c r="M186" t="inlineStr">
        <is>
          <t>In stock</t>
        </is>
      </c>
      <c r="N186" t="inlineStr">
        <is>
          <t>Mobile (travels with robot)</t>
        </is>
      </c>
    </row>
    <row r="187">
      <c r="A187" t="n">
        <v>186</v>
      </c>
      <c r="B187" t="n">
        <v>13</v>
      </c>
      <c r="C187" t="inlineStr">
        <is>
          <t>Wire, connector, cables &amp; crimps</t>
        </is>
      </c>
      <c r="D187" t="inlineStr">
        <is>
          <t>13-I Crimps, Ferrules &amp; Lugs</t>
        </is>
      </c>
      <c r="E187" s="24" t="inlineStr">
        <is>
          <t>Ferrule - Wire End, 12 AWG</t>
        </is>
      </c>
      <c r="F187" t="inlineStr">
        <is>
          <t>12</t>
        </is>
      </c>
      <c r="G187" s="25" t="inlineStr">
        <is>
          <t>Consumable</t>
        </is>
      </c>
      <c r="H187" s="24" t="inlineStr">
        <is>
          <t>Crimp terminal - single-use once crimped</t>
        </is>
      </c>
      <c r="I187" t="inlineStr">
        <is>
          <t>Badri</t>
        </is>
      </c>
      <c r="J187" t="inlineStr">
        <is>
          <t>India</t>
        </is>
      </c>
      <c r="K187" t="inlineStr">
        <is>
          <t>No</t>
        </is>
      </c>
      <c r="M187" t="inlineStr">
        <is>
          <t>In stock</t>
        </is>
      </c>
      <c r="N187" t="inlineStr">
        <is>
          <t>Mobile (travels with robot)</t>
        </is>
      </c>
    </row>
    <row r="188">
      <c r="A188" t="n">
        <v>187</v>
      </c>
      <c r="B188" t="n">
        <v>13</v>
      </c>
      <c r="C188" t="inlineStr">
        <is>
          <t>Wire, connector, cables &amp; crimps</t>
        </is>
      </c>
      <c r="D188" t="inlineStr">
        <is>
          <t>13-I Crimps, Ferrules &amp; Lugs</t>
        </is>
      </c>
      <c r="E188" s="24" t="inlineStr">
        <is>
          <t>Ferrule - Wire End, 14 AWG</t>
        </is>
      </c>
      <c r="F188" t="inlineStr">
        <is>
          <t>30</t>
        </is>
      </c>
      <c r="G188" s="25" t="inlineStr">
        <is>
          <t>Consumable</t>
        </is>
      </c>
      <c r="H188" s="24" t="inlineStr">
        <is>
          <t>Crimp terminal - single-use once crimped</t>
        </is>
      </c>
      <c r="I188" t="inlineStr">
        <is>
          <t>Badri</t>
        </is>
      </c>
      <c r="J188" t="inlineStr">
        <is>
          <t>India</t>
        </is>
      </c>
      <c r="K188" t="inlineStr">
        <is>
          <t>No</t>
        </is>
      </c>
      <c r="M188" t="inlineStr">
        <is>
          <t>In stock</t>
        </is>
      </c>
      <c r="N188" t="inlineStr">
        <is>
          <t>Mobile (travels with robot)</t>
        </is>
      </c>
    </row>
    <row r="189">
      <c r="A189" t="n">
        <v>188</v>
      </c>
      <c r="B189" t="n">
        <v>13</v>
      </c>
      <c r="C189" t="inlineStr">
        <is>
          <t>Wire, connector, cables &amp; crimps</t>
        </is>
      </c>
      <c r="D189" t="inlineStr">
        <is>
          <t>13-I Crimps, Ferrules &amp; Lugs</t>
        </is>
      </c>
      <c r="E189" s="24" t="inlineStr">
        <is>
          <t>Ferrule - Wire End, 16 AWG</t>
        </is>
      </c>
      <c r="F189" t="inlineStr">
        <is>
          <t>30</t>
        </is>
      </c>
      <c r="G189" s="25" t="inlineStr">
        <is>
          <t>Consumable</t>
        </is>
      </c>
      <c r="H189" s="24" t="inlineStr">
        <is>
          <t>Crimp terminal - single-use once crimped</t>
        </is>
      </c>
      <c r="I189" t="inlineStr">
        <is>
          <t>Badri</t>
        </is>
      </c>
      <c r="J189" t="inlineStr">
        <is>
          <t>India</t>
        </is>
      </c>
      <c r="K189" t="inlineStr">
        <is>
          <t>No</t>
        </is>
      </c>
      <c r="M189" t="inlineStr">
        <is>
          <t>In stock</t>
        </is>
      </c>
      <c r="N189" t="inlineStr">
        <is>
          <t>Mobile (travels with robot)</t>
        </is>
      </c>
    </row>
    <row r="190">
      <c r="A190" t="n">
        <v>189</v>
      </c>
      <c r="B190" t="n">
        <v>13</v>
      </c>
      <c r="C190" t="inlineStr">
        <is>
          <t>Wire, connector, cables &amp; crimps</t>
        </is>
      </c>
      <c r="D190" t="inlineStr">
        <is>
          <t>13-I Crimps, Ferrules &amp; Lugs</t>
        </is>
      </c>
      <c r="E190" s="24" t="inlineStr">
        <is>
          <t>Ferrule - Wire End, 18 AWG</t>
        </is>
      </c>
      <c r="F190" t="inlineStr">
        <is>
          <t>30</t>
        </is>
      </c>
      <c r="G190" s="25" t="inlineStr">
        <is>
          <t>Consumable</t>
        </is>
      </c>
      <c r="H190" s="24" t="inlineStr">
        <is>
          <t>Crimp terminal - single-use once crimped</t>
        </is>
      </c>
      <c r="I190" t="inlineStr">
        <is>
          <t>Badri</t>
        </is>
      </c>
      <c r="J190" t="inlineStr">
        <is>
          <t>India</t>
        </is>
      </c>
      <c r="K190" t="inlineStr">
        <is>
          <t>No</t>
        </is>
      </c>
      <c r="M190" t="inlineStr">
        <is>
          <t>In stock</t>
        </is>
      </c>
      <c r="N190" t="inlineStr">
        <is>
          <t>Mobile (travels with robot)</t>
        </is>
      </c>
    </row>
    <row r="191">
      <c r="A191" t="n">
        <v>190</v>
      </c>
      <c r="B191" t="n">
        <v>13</v>
      </c>
      <c r="C191" t="inlineStr">
        <is>
          <t>Wire, connector, cables &amp; crimps</t>
        </is>
      </c>
      <c r="D191" t="inlineStr">
        <is>
          <t>13-I Crimps, Ferrules &amp; Lugs</t>
        </is>
      </c>
      <c r="E191" s="24" t="inlineStr">
        <is>
          <t>Ferrule - Wire End, 20 AWG</t>
        </is>
      </c>
      <c r="F191" t="inlineStr">
        <is>
          <t>30</t>
        </is>
      </c>
      <c r="G191" s="25" t="inlineStr">
        <is>
          <t>Consumable</t>
        </is>
      </c>
      <c r="H191" s="24" t="inlineStr">
        <is>
          <t>Crimp terminal - single-use once crimped</t>
        </is>
      </c>
      <c r="I191" t="inlineStr">
        <is>
          <t>Badri</t>
        </is>
      </c>
      <c r="J191" t="inlineStr">
        <is>
          <t>India</t>
        </is>
      </c>
      <c r="K191" t="inlineStr">
        <is>
          <t>No</t>
        </is>
      </c>
      <c r="M191" t="inlineStr">
        <is>
          <t>In stock</t>
        </is>
      </c>
      <c r="N191" t="inlineStr">
        <is>
          <t>Mobile (travels with robot)</t>
        </is>
      </c>
    </row>
    <row r="192">
      <c r="A192" t="n">
        <v>191</v>
      </c>
      <c r="B192" t="n">
        <v>13</v>
      </c>
      <c r="C192" t="inlineStr">
        <is>
          <t>Wire, connector, cables &amp; crimps</t>
        </is>
      </c>
      <c r="D192" t="inlineStr">
        <is>
          <t>13-I Crimps, Ferrules &amp; Lugs</t>
        </is>
      </c>
      <c r="E192" s="24" t="inlineStr">
        <is>
          <t>Ferrule - Wire End, 22 AWG</t>
        </is>
      </c>
      <c r="F192" t="inlineStr">
        <is>
          <t>30</t>
        </is>
      </c>
      <c r="G192" s="25" t="inlineStr">
        <is>
          <t>Consumable</t>
        </is>
      </c>
      <c r="H192" s="24" t="inlineStr">
        <is>
          <t>Crimp terminal - single-use once crimped</t>
        </is>
      </c>
      <c r="I192" t="inlineStr">
        <is>
          <t>Badri</t>
        </is>
      </c>
      <c r="J192" t="inlineStr">
        <is>
          <t>India</t>
        </is>
      </c>
      <c r="K192" t="inlineStr">
        <is>
          <t>No</t>
        </is>
      </c>
      <c r="M192" t="inlineStr">
        <is>
          <t>In stock</t>
        </is>
      </c>
      <c r="N192" t="inlineStr">
        <is>
          <t>Mobile (travels with robot)</t>
        </is>
      </c>
    </row>
    <row r="193">
      <c r="A193" t="n">
        <v>192</v>
      </c>
      <c r="B193" t="n">
        <v>13</v>
      </c>
      <c r="C193" t="inlineStr">
        <is>
          <t>Wire, connector, cables &amp; crimps</t>
        </is>
      </c>
      <c r="D193" t="inlineStr">
        <is>
          <t>13-I Crimps, Ferrules &amp; Lugs</t>
        </is>
      </c>
      <c r="E193" s="24" t="inlineStr">
        <is>
          <t>Ferrule - Wire End, 24 AWG</t>
        </is>
      </c>
      <c r="F193" t="inlineStr">
        <is>
          <t>30</t>
        </is>
      </c>
      <c r="G193" s="25" t="inlineStr">
        <is>
          <t>Consumable</t>
        </is>
      </c>
      <c r="H193" s="24" t="inlineStr">
        <is>
          <t>Crimp terminal - single-use once crimped</t>
        </is>
      </c>
      <c r="I193" t="inlineStr">
        <is>
          <t>Badri</t>
        </is>
      </c>
      <c r="J193" t="inlineStr">
        <is>
          <t>India</t>
        </is>
      </c>
      <c r="K193" t="inlineStr">
        <is>
          <t>No</t>
        </is>
      </c>
      <c r="M193" t="inlineStr">
        <is>
          <t>In stock</t>
        </is>
      </c>
      <c r="N193" t="inlineStr">
        <is>
          <t>Mobile (travels with robot)</t>
        </is>
      </c>
    </row>
    <row r="194">
      <c r="A194" t="n">
        <v>193</v>
      </c>
      <c r="B194" t="n">
        <v>13</v>
      </c>
      <c r="C194" t="inlineStr">
        <is>
          <t>Wire, connector, cables &amp; crimps</t>
        </is>
      </c>
      <c r="D194" t="inlineStr">
        <is>
          <t>13-I Crimps, Ferrules &amp; Lugs</t>
        </is>
      </c>
      <c r="E194" s="24" t="inlineStr">
        <is>
          <t>Lug - Spade, 16 AWG</t>
        </is>
      </c>
      <c r="F194" t="inlineStr">
        <is>
          <t>20</t>
        </is>
      </c>
      <c r="G194" s="25" t="inlineStr">
        <is>
          <t>Consumable</t>
        </is>
      </c>
      <c r="H194" s="24" t="inlineStr">
        <is>
          <t>Crimp terminal - single-use once crimped</t>
        </is>
      </c>
      <c r="I194" t="inlineStr">
        <is>
          <t>Badri</t>
        </is>
      </c>
      <c r="J194" t="inlineStr">
        <is>
          <t>India</t>
        </is>
      </c>
      <c r="K194" t="inlineStr">
        <is>
          <t>No</t>
        </is>
      </c>
      <c r="M194" t="inlineStr">
        <is>
          <t>In stock</t>
        </is>
      </c>
      <c r="N194" t="inlineStr">
        <is>
          <t>Mobile (travels with robot)</t>
        </is>
      </c>
    </row>
    <row r="195">
      <c r="A195" t="n">
        <v>194</v>
      </c>
      <c r="B195" t="n">
        <v>13</v>
      </c>
      <c r="C195" t="inlineStr">
        <is>
          <t>Wire, connector, cables &amp; crimps</t>
        </is>
      </c>
      <c r="D195" t="inlineStr">
        <is>
          <t>13-I Crimps, Ferrules &amp; Lugs</t>
        </is>
      </c>
      <c r="E195" s="24" t="inlineStr">
        <is>
          <t>Lug - Spade, 14 AWG</t>
        </is>
      </c>
      <c r="F195" t="inlineStr">
        <is>
          <t>20</t>
        </is>
      </c>
      <c r="G195" s="25" t="inlineStr">
        <is>
          <t>Consumable</t>
        </is>
      </c>
      <c r="H195" s="24" t="inlineStr">
        <is>
          <t>Crimp terminal - single-use once crimped</t>
        </is>
      </c>
      <c r="I195" t="inlineStr">
        <is>
          <t>Badri</t>
        </is>
      </c>
      <c r="J195" t="inlineStr">
        <is>
          <t>India</t>
        </is>
      </c>
      <c r="K195" t="inlineStr">
        <is>
          <t>No</t>
        </is>
      </c>
      <c r="M195" t="inlineStr">
        <is>
          <t>In stock</t>
        </is>
      </c>
      <c r="N195" t="inlineStr">
        <is>
          <t>Mobile (travels with robot)</t>
        </is>
      </c>
    </row>
    <row r="196">
      <c r="A196" t="n">
        <v>195</v>
      </c>
      <c r="B196" t="n">
        <v>13</v>
      </c>
      <c r="C196" t="inlineStr">
        <is>
          <t>Wire, connector, cables &amp; crimps</t>
        </is>
      </c>
      <c r="D196" t="inlineStr">
        <is>
          <t>13-I Crimps, Ferrules &amp; Lugs</t>
        </is>
      </c>
      <c r="E196" s="24" t="inlineStr">
        <is>
          <t>Lug - Spade, 12 AWG</t>
        </is>
      </c>
      <c r="F196" t="inlineStr">
        <is>
          <t>20</t>
        </is>
      </c>
      <c r="G196" s="25" t="inlineStr">
        <is>
          <t>Consumable</t>
        </is>
      </c>
      <c r="H196" s="24" t="inlineStr">
        <is>
          <t>Crimp terminal - single-use once crimped</t>
        </is>
      </c>
      <c r="I196" t="inlineStr">
        <is>
          <t>Badri</t>
        </is>
      </c>
      <c r="J196" t="inlineStr">
        <is>
          <t>India</t>
        </is>
      </c>
      <c r="K196" t="inlineStr">
        <is>
          <t>No</t>
        </is>
      </c>
      <c r="M196" t="inlineStr">
        <is>
          <t>In stock</t>
        </is>
      </c>
      <c r="N196" t="inlineStr">
        <is>
          <t>Mobile (travels with robot)</t>
        </is>
      </c>
    </row>
    <row r="197">
      <c r="A197" t="n">
        <v>196</v>
      </c>
      <c r="B197" t="n">
        <v>13</v>
      </c>
      <c r="C197" t="inlineStr">
        <is>
          <t>Wire, connector, cables &amp; crimps</t>
        </is>
      </c>
      <c r="D197" t="inlineStr">
        <is>
          <t>13-I Crimps, Ferrules &amp; Lugs</t>
        </is>
      </c>
      <c r="E197" s="24" t="inlineStr">
        <is>
          <t>Lug - Ring, 4 AWG, M8 stud</t>
        </is>
      </c>
      <c r="F197" t="inlineStr">
        <is>
          <t>30</t>
        </is>
      </c>
      <c r="G197" s="25" t="inlineStr">
        <is>
          <t>Consumable</t>
        </is>
      </c>
      <c r="H197" s="24" t="inlineStr">
        <is>
          <t>Crimp terminal - single-use once crimped</t>
        </is>
      </c>
      <c r="I197" t="inlineStr">
        <is>
          <t>Badri</t>
        </is>
      </c>
      <c r="J197" t="inlineStr">
        <is>
          <t>India</t>
        </is>
      </c>
      <c r="K197" t="inlineStr">
        <is>
          <t>No</t>
        </is>
      </c>
      <c r="M197" t="inlineStr">
        <is>
          <t>PR Raised</t>
        </is>
      </c>
      <c r="N197" t="inlineStr">
        <is>
          <t>Mobile (travels with robot)</t>
        </is>
      </c>
    </row>
    <row r="198">
      <c r="A198" t="n">
        <v>197</v>
      </c>
      <c r="B198" t="n">
        <v>13</v>
      </c>
      <c r="C198" t="inlineStr">
        <is>
          <t>Wire, connector, cables &amp; crimps</t>
        </is>
      </c>
      <c r="D198" t="inlineStr">
        <is>
          <t>13-I Crimps, Ferrules &amp; Lugs</t>
        </is>
      </c>
      <c r="E198" s="24" t="inlineStr">
        <is>
          <t>Lug - Ring, 6 AWG, M8 stud</t>
        </is>
      </c>
      <c r="F198" t="inlineStr">
        <is>
          <t>30</t>
        </is>
      </c>
      <c r="G198" s="25" t="inlineStr">
        <is>
          <t>Consumable</t>
        </is>
      </c>
      <c r="H198" s="24" t="inlineStr">
        <is>
          <t>Crimp terminal - single-use once crimped</t>
        </is>
      </c>
      <c r="I198" t="inlineStr">
        <is>
          <t>Badri</t>
        </is>
      </c>
      <c r="J198" t="inlineStr">
        <is>
          <t>India</t>
        </is>
      </c>
      <c r="K198" t="inlineStr">
        <is>
          <t>No</t>
        </is>
      </c>
      <c r="M198" t="inlineStr">
        <is>
          <t>PR Raised</t>
        </is>
      </c>
      <c r="N198" t="inlineStr">
        <is>
          <t>Mobile (travels with robot)</t>
        </is>
      </c>
    </row>
    <row r="199">
      <c r="A199" t="n">
        <v>198</v>
      </c>
      <c r="B199" t="n">
        <v>13</v>
      </c>
      <c r="C199" t="inlineStr">
        <is>
          <t>Wire, connector, cables &amp; crimps</t>
        </is>
      </c>
      <c r="D199" t="inlineStr">
        <is>
          <t>13-I Crimps, Ferrules &amp; Lugs</t>
        </is>
      </c>
      <c r="E199" s="24" t="inlineStr">
        <is>
          <t>Lug - Ring, 12 AWG, M8 stud</t>
        </is>
      </c>
      <c r="F199" t="inlineStr">
        <is>
          <t>20</t>
        </is>
      </c>
      <c r="G199" s="25" t="inlineStr">
        <is>
          <t>Consumable</t>
        </is>
      </c>
      <c r="H199" s="24" t="inlineStr">
        <is>
          <t>Crimp terminal - single-use once crimped</t>
        </is>
      </c>
      <c r="I199" t="inlineStr">
        <is>
          <t>Badri</t>
        </is>
      </c>
      <c r="J199" t="inlineStr">
        <is>
          <t>India</t>
        </is>
      </c>
      <c r="K199" t="inlineStr">
        <is>
          <t>No</t>
        </is>
      </c>
      <c r="M199" t="inlineStr">
        <is>
          <t>PR Raised</t>
        </is>
      </c>
      <c r="N199" t="inlineStr">
        <is>
          <t>Mobile (travels with robot)</t>
        </is>
      </c>
    </row>
    <row r="200">
      <c r="A200" t="n">
        <v>199</v>
      </c>
      <c r="B200" t="n">
        <v>13</v>
      </c>
      <c r="C200" t="inlineStr">
        <is>
          <t>Wire, connector, cables &amp; crimps</t>
        </is>
      </c>
      <c r="D200" t="inlineStr">
        <is>
          <t>13-I Crimps, Ferrules &amp; Lugs</t>
        </is>
      </c>
      <c r="E200" s="24" t="inlineStr">
        <is>
          <t>Lug - Ring, 14 AWG, M8 stud</t>
        </is>
      </c>
      <c r="F200" t="inlineStr">
        <is>
          <t>20</t>
        </is>
      </c>
      <c r="G200" s="25" t="inlineStr">
        <is>
          <t>Consumable</t>
        </is>
      </c>
      <c r="H200" s="24" t="inlineStr">
        <is>
          <t>Crimp terminal - single-use once crimped</t>
        </is>
      </c>
      <c r="I200" t="inlineStr">
        <is>
          <t>Badri</t>
        </is>
      </c>
      <c r="J200" t="inlineStr">
        <is>
          <t>India</t>
        </is>
      </c>
      <c r="K200" t="inlineStr">
        <is>
          <t>No</t>
        </is>
      </c>
      <c r="M200" t="inlineStr">
        <is>
          <t>PR Raised</t>
        </is>
      </c>
      <c r="N200" t="inlineStr">
        <is>
          <t>Mobile (travels with robot)</t>
        </is>
      </c>
    </row>
    <row r="201">
      <c r="A201" t="n">
        <v>200</v>
      </c>
      <c r="B201" t="n">
        <v>13</v>
      </c>
      <c r="C201" t="inlineStr">
        <is>
          <t>Wire, connector, cables &amp; crimps</t>
        </is>
      </c>
      <c r="D201" t="inlineStr">
        <is>
          <t>13-I Crimps, Ferrules &amp; Lugs</t>
        </is>
      </c>
      <c r="E201" s="24" t="inlineStr">
        <is>
          <t>Lug - Ring, 14 AWG, M6 stud</t>
        </is>
      </c>
      <c r="F201" t="inlineStr">
        <is>
          <t>20</t>
        </is>
      </c>
      <c r="G201" s="25" t="inlineStr">
        <is>
          <t>Consumable</t>
        </is>
      </c>
      <c r="H201" s="24" t="inlineStr">
        <is>
          <t>Crimp terminal - single-use once crimped</t>
        </is>
      </c>
      <c r="I201" t="inlineStr">
        <is>
          <t>Badri</t>
        </is>
      </c>
      <c r="J201" t="inlineStr">
        <is>
          <t>India</t>
        </is>
      </c>
      <c r="K201" t="inlineStr">
        <is>
          <t>No</t>
        </is>
      </c>
      <c r="M201" t="inlineStr">
        <is>
          <t>PR Raised</t>
        </is>
      </c>
      <c r="N201" t="inlineStr">
        <is>
          <t>Mobile (travels with robot)</t>
        </is>
      </c>
    </row>
    <row r="202">
      <c r="A202" t="n">
        <v>201</v>
      </c>
      <c r="B202" t="n">
        <v>13</v>
      </c>
      <c r="C202" t="inlineStr">
        <is>
          <t>Wire, connector, cables &amp; crimps</t>
        </is>
      </c>
      <c r="D202" t="inlineStr">
        <is>
          <t>13-I Crimps, Ferrules &amp; Lugs</t>
        </is>
      </c>
      <c r="E202" s="24" t="inlineStr">
        <is>
          <t>Lug - Ring, 22 AWG, M8 stud</t>
        </is>
      </c>
      <c r="F202" t="inlineStr">
        <is>
          <t>20</t>
        </is>
      </c>
      <c r="G202" s="25" t="inlineStr">
        <is>
          <t>Consumable</t>
        </is>
      </c>
      <c r="H202" s="24" t="inlineStr">
        <is>
          <t>Crimp terminal - single-use once crimped</t>
        </is>
      </c>
      <c r="I202" t="inlineStr">
        <is>
          <t>Badri</t>
        </is>
      </c>
      <c r="J202" t="inlineStr">
        <is>
          <t>India</t>
        </is>
      </c>
      <c r="K202" t="inlineStr">
        <is>
          <t>No</t>
        </is>
      </c>
      <c r="M202" t="inlineStr">
        <is>
          <t>PR Raised</t>
        </is>
      </c>
      <c r="N202" t="inlineStr">
        <is>
          <t>Mobile (travels with robot)</t>
        </is>
      </c>
    </row>
    <row r="203">
      <c r="A203" t="n">
        <v>202</v>
      </c>
      <c r="B203" t="n">
        <v>13</v>
      </c>
      <c r="C203" t="inlineStr">
        <is>
          <t>Wire, connector, cables &amp; crimps</t>
        </is>
      </c>
      <c r="D203" t="inlineStr">
        <is>
          <t>13-I Crimps, Ferrules &amp; Lugs</t>
        </is>
      </c>
      <c r="E203" s="24" t="inlineStr">
        <is>
          <t>Lug - Ring, 22 AWG, M3 stud</t>
        </is>
      </c>
      <c r="F203" t="inlineStr">
        <is>
          <t>20</t>
        </is>
      </c>
      <c r="G203" s="25" t="inlineStr">
        <is>
          <t>Consumable</t>
        </is>
      </c>
      <c r="H203" s="24" t="inlineStr">
        <is>
          <t>Crimp terminal - single-use once crimped</t>
        </is>
      </c>
      <c r="I203" t="inlineStr">
        <is>
          <t>Badri</t>
        </is>
      </c>
      <c r="J203" t="inlineStr">
        <is>
          <t>India</t>
        </is>
      </c>
      <c r="K203" t="inlineStr">
        <is>
          <t>No</t>
        </is>
      </c>
      <c r="M203" t="inlineStr">
        <is>
          <t>PR Raised</t>
        </is>
      </c>
      <c r="N203" t="inlineStr">
        <is>
          <t>Mobile (travels with robot)</t>
        </is>
      </c>
    </row>
    <row r="204">
      <c r="A204" t="n">
        <v>203</v>
      </c>
      <c r="B204" t="n">
        <v>2</v>
      </c>
      <c r="C204" t="inlineStr">
        <is>
          <t>Bringup Kit</t>
        </is>
      </c>
      <c r="D204" t="inlineStr">
        <is>
          <t>2-E Electronics &amp; Cables</t>
        </is>
      </c>
      <c r="E204" s="24" t="inlineStr">
        <is>
          <t>Battery - Li-SOCl2 AA, ER14505 - driver encoder (Spare)</t>
        </is>
      </c>
      <c r="F204" t="inlineStr">
        <is>
          <t>4.0</t>
        </is>
      </c>
      <c r="G204" s="25" t="inlineStr">
        <is>
          <t>Consumable</t>
        </is>
      </c>
      <c r="H204" s="24" t="inlineStr">
        <is>
          <t>Primary (non-rechargeable) cell</t>
        </is>
      </c>
      <c r="I204" t="inlineStr">
        <is>
          <t>Badri</t>
        </is>
      </c>
      <c r="J204" t="inlineStr">
        <is>
          <t>India</t>
        </is>
      </c>
      <c r="K204" t="inlineStr">
        <is>
          <t>No</t>
        </is>
      </c>
      <c r="M204" t="inlineStr">
        <is>
          <t>IQC Stage</t>
        </is>
      </c>
    </row>
    <row r="205">
      <c r="A205" t="n">
        <v>204</v>
      </c>
      <c r="B205" t="n">
        <v>13</v>
      </c>
      <c r="C205" t="inlineStr">
        <is>
          <t>Wire, connector, cables &amp; crimps</t>
        </is>
      </c>
      <c r="D205" t="inlineStr">
        <is>
          <t>13-I Crimps, Ferrules &amp; Lugs</t>
        </is>
      </c>
      <c r="E205" s="24" t="inlineStr">
        <is>
          <t>Lug - Ring, 22 AWG, M6 stud</t>
        </is>
      </c>
      <c r="F205" t="inlineStr">
        <is>
          <t>20</t>
        </is>
      </c>
      <c r="G205" s="25" t="inlineStr">
        <is>
          <t>Consumable</t>
        </is>
      </c>
      <c r="H205" s="24" t="inlineStr">
        <is>
          <t>Crimp terminal - single-use once crimped</t>
        </is>
      </c>
      <c r="I205" t="inlineStr">
        <is>
          <t>Badri</t>
        </is>
      </c>
      <c r="J205" t="inlineStr">
        <is>
          <t>India</t>
        </is>
      </c>
      <c r="K205" t="inlineStr">
        <is>
          <t>No</t>
        </is>
      </c>
      <c r="M205" t="inlineStr">
        <is>
          <t>PR Raised</t>
        </is>
      </c>
      <c r="N205" t="inlineStr">
        <is>
          <t>Mobile (travels with robot)</t>
        </is>
      </c>
    </row>
    <row r="206">
      <c r="A206" t="n">
        <v>205</v>
      </c>
      <c r="B206" t="n">
        <v>13</v>
      </c>
      <c r="C206" t="inlineStr">
        <is>
          <t>Wire, connector, cables &amp; crimps</t>
        </is>
      </c>
      <c r="D206" t="inlineStr">
        <is>
          <t>13-J Cable Management</t>
        </is>
      </c>
      <c r="E206" s="24" t="inlineStr">
        <is>
          <t>Heat Shrink - Assorted Box</t>
        </is>
      </c>
      <c r="F206" t="inlineStr">
        <is>
          <t>1</t>
        </is>
      </c>
      <c r="G206" s="25" t="inlineStr">
        <is>
          <t>Consumable</t>
        </is>
      </c>
      <c r="H206" s="24" t="inlineStr">
        <is>
          <t>Single-use cable-management consumable</t>
        </is>
      </c>
      <c r="I206" t="inlineStr">
        <is>
          <t>Badri</t>
        </is>
      </c>
      <c r="J206" t="inlineStr">
        <is>
          <t>India</t>
        </is>
      </c>
      <c r="K206" t="inlineStr">
        <is>
          <t>No</t>
        </is>
      </c>
      <c r="M206" t="inlineStr">
        <is>
          <t>In stock</t>
        </is>
      </c>
      <c r="N206" t="inlineStr">
        <is>
          <t>Mobile (travels with robot)</t>
        </is>
      </c>
    </row>
    <row r="207">
      <c r="A207" t="n">
        <v>206</v>
      </c>
      <c r="B207" t="n">
        <v>13</v>
      </c>
      <c r="C207" t="inlineStr">
        <is>
          <t>Wire, connector, cables &amp; crimps</t>
        </is>
      </c>
      <c r="D207" t="inlineStr">
        <is>
          <t>13-J Cable Management</t>
        </is>
      </c>
      <c r="E207" s="24" t="inlineStr">
        <is>
          <t>Zip Tie - Nylon</t>
        </is>
      </c>
      <c r="F207" t="inlineStr">
        <is>
          <t>50</t>
        </is>
      </c>
      <c r="G207" s="25" t="inlineStr">
        <is>
          <t>Consumable</t>
        </is>
      </c>
      <c r="H207" s="24" t="inlineStr">
        <is>
          <t>Single-use cable-management consumable</t>
        </is>
      </c>
      <c r="I207" t="inlineStr">
        <is>
          <t>Kaustubh</t>
        </is>
      </c>
      <c r="J207" t="inlineStr">
        <is>
          <t>India</t>
        </is>
      </c>
      <c r="K207" t="inlineStr">
        <is>
          <t>No</t>
        </is>
      </c>
      <c r="L207" t="inlineStr">
        <is>
          <t>PR-2026-1653</t>
        </is>
      </c>
      <c r="M207" t="inlineStr">
        <is>
          <t>In stock</t>
        </is>
      </c>
      <c r="N207" t="inlineStr">
        <is>
          <t>Mobile (travels with robot)</t>
        </is>
      </c>
    </row>
    <row r="208">
      <c r="A208" t="n">
        <v>207</v>
      </c>
      <c r="B208" t="n">
        <v>13</v>
      </c>
      <c r="C208" t="inlineStr">
        <is>
          <t>Wire, connector, cables &amp; crimps</t>
        </is>
      </c>
      <c r="D208" t="inlineStr">
        <is>
          <t>13-J Cable Management</t>
        </is>
      </c>
      <c r="E208" s="24" t="inlineStr">
        <is>
          <t>Zip Tie Base - Adhesive Mount</t>
        </is>
      </c>
      <c r="F208" t="inlineStr">
        <is>
          <t>50</t>
        </is>
      </c>
      <c r="G208" s="25" t="inlineStr">
        <is>
          <t>Consumable</t>
        </is>
      </c>
      <c r="H208" s="24" t="inlineStr">
        <is>
          <t>Chemical / adhesive - used up in use</t>
        </is>
      </c>
      <c r="I208" t="inlineStr">
        <is>
          <t>Kaustubh</t>
        </is>
      </c>
      <c r="J208" t="inlineStr">
        <is>
          <t>India</t>
        </is>
      </c>
      <c r="K208" t="inlineStr">
        <is>
          <t>No</t>
        </is>
      </c>
      <c r="L208" t="inlineStr">
        <is>
          <t>PR-2026-1653</t>
        </is>
      </c>
      <c r="M208" t="inlineStr">
        <is>
          <t>In stock</t>
        </is>
      </c>
      <c r="N208" t="inlineStr">
        <is>
          <t>Mobile (travels with robot)</t>
        </is>
      </c>
    </row>
    <row r="209">
      <c r="A209" t="n">
        <v>208</v>
      </c>
      <c r="B209" t="n">
        <v>13</v>
      </c>
      <c r="C209" t="inlineStr">
        <is>
          <t>Wire, connector, cables &amp; crimps</t>
        </is>
      </c>
      <c r="D209" t="inlineStr">
        <is>
          <t>13-J Cable Management</t>
        </is>
      </c>
      <c r="E209" s="24" t="inlineStr">
        <is>
          <t>Gland - Cable, PG7</t>
        </is>
      </c>
      <c r="F209" t="inlineStr">
        <is>
          <t>15.0</t>
        </is>
      </c>
      <c r="G209" s="26" t="inlineStr">
        <is>
          <t>Not consumable</t>
        </is>
      </c>
      <c r="H209" s="24" t="inlineStr">
        <is>
          <t>Durable equipment / spare component</t>
        </is>
      </c>
      <c r="I209" t="inlineStr">
        <is>
          <t>Kaustubh</t>
        </is>
      </c>
      <c r="J209" t="inlineStr">
        <is>
          <t>India</t>
        </is>
      </c>
      <c r="K209" t="inlineStr">
        <is>
          <t>No</t>
        </is>
      </c>
      <c r="L209" t="inlineStr">
        <is>
          <t>PR-2026-1650</t>
        </is>
      </c>
      <c r="M209" t="inlineStr">
        <is>
          <t>PR Raised</t>
        </is>
      </c>
      <c r="N209" t="inlineStr">
        <is>
          <t>NY Stationary (stays in NY inventory)</t>
        </is>
      </c>
    </row>
    <row r="210">
      <c r="A210" t="n">
        <v>209</v>
      </c>
      <c r="B210" t="n">
        <v>13</v>
      </c>
      <c r="C210" t="inlineStr">
        <is>
          <t>Wire, connector, cables &amp; crimps</t>
        </is>
      </c>
      <c r="D210" t="inlineStr">
        <is>
          <t>13-J Cable Management</t>
        </is>
      </c>
      <c r="E210" s="24" t="inlineStr">
        <is>
          <t>Gland - Cable, PG9</t>
        </is>
      </c>
      <c r="F210" t="inlineStr">
        <is>
          <t>15.0</t>
        </is>
      </c>
      <c r="G210" s="26" t="inlineStr">
        <is>
          <t>Not consumable</t>
        </is>
      </c>
      <c r="H210" s="24" t="inlineStr">
        <is>
          <t>Durable equipment / spare component</t>
        </is>
      </c>
      <c r="I210" t="inlineStr">
        <is>
          <t>Kaustubh</t>
        </is>
      </c>
      <c r="J210" t="inlineStr">
        <is>
          <t>India</t>
        </is>
      </c>
      <c r="K210" t="inlineStr">
        <is>
          <t>No</t>
        </is>
      </c>
      <c r="L210" t="inlineStr">
        <is>
          <t>PR-2026-1650</t>
        </is>
      </c>
      <c r="M210" t="inlineStr">
        <is>
          <t>PR Raised</t>
        </is>
      </c>
      <c r="N210" t="inlineStr">
        <is>
          <t>NY Stationary (stays in NY inventory)</t>
        </is>
      </c>
    </row>
    <row r="211">
      <c r="A211" t="n">
        <v>210</v>
      </c>
      <c r="B211" t="n">
        <v>13</v>
      </c>
      <c r="C211" t="inlineStr">
        <is>
          <t>Wire, connector, cables &amp; crimps</t>
        </is>
      </c>
      <c r="D211" t="inlineStr">
        <is>
          <t>13-J Cable Management</t>
        </is>
      </c>
      <c r="E211" s="24" t="inlineStr">
        <is>
          <t>Gland - Cable, PG11</t>
        </is>
      </c>
      <c r="F211" t="inlineStr">
        <is>
          <t>15.0</t>
        </is>
      </c>
      <c r="G211" s="26" t="inlineStr">
        <is>
          <t>Not consumable</t>
        </is>
      </c>
      <c r="H211" s="24" t="inlineStr">
        <is>
          <t>Durable equipment / spare component</t>
        </is>
      </c>
      <c r="I211" t="inlineStr">
        <is>
          <t>Kaustubh</t>
        </is>
      </c>
      <c r="J211" t="inlineStr">
        <is>
          <t>India</t>
        </is>
      </c>
      <c r="K211" t="inlineStr">
        <is>
          <t>No</t>
        </is>
      </c>
      <c r="L211" t="inlineStr">
        <is>
          <t>PR-2026-1650</t>
        </is>
      </c>
      <c r="M211" t="inlineStr">
        <is>
          <t>PR Raised</t>
        </is>
      </c>
      <c r="N211" t="inlineStr">
        <is>
          <t>NY Stationary (stays in NY inventory)</t>
        </is>
      </c>
    </row>
    <row r="212">
      <c r="A212" t="n">
        <v>211</v>
      </c>
      <c r="B212" t="n">
        <v>13</v>
      </c>
      <c r="C212" t="inlineStr">
        <is>
          <t>Wire, connector, cables &amp; crimps</t>
        </is>
      </c>
      <c r="D212" t="inlineStr">
        <is>
          <t>13-J Cable Management</t>
        </is>
      </c>
      <c r="E212" s="24" t="inlineStr">
        <is>
          <t>Conduit- Cable, PG7</t>
        </is>
      </c>
      <c r="F212" t="inlineStr">
        <is>
          <t>3m</t>
        </is>
      </c>
      <c r="G212" s="27" t="inlineStr">
        <is>
          <t>Borderline</t>
        </is>
      </c>
      <c r="H212" s="24" t="inlineStr">
        <is>
          <t>Bulk stock issued by length - consumable-class in inventory, not used up per se</t>
        </is>
      </c>
      <c r="I212" t="inlineStr">
        <is>
          <t>Kaustubh</t>
        </is>
      </c>
      <c r="J212" t="inlineStr">
        <is>
          <t>India</t>
        </is>
      </c>
      <c r="K212" t="inlineStr">
        <is>
          <t>No</t>
        </is>
      </c>
      <c r="L212" t="inlineStr">
        <is>
          <t>PR-2026-1650</t>
        </is>
      </c>
      <c r="M212" t="inlineStr">
        <is>
          <t>PR Raised</t>
        </is>
      </c>
      <c r="N212" t="inlineStr">
        <is>
          <t>NY Stationary (stays in NY inventory)</t>
        </is>
      </c>
    </row>
    <row r="213">
      <c r="A213" t="n">
        <v>212</v>
      </c>
      <c r="B213" t="n">
        <v>13</v>
      </c>
      <c r="C213" t="inlineStr">
        <is>
          <t>Wire, connector, cables &amp; crimps</t>
        </is>
      </c>
      <c r="D213" t="inlineStr">
        <is>
          <t>13-J Cable Management</t>
        </is>
      </c>
      <c r="E213" s="24" t="inlineStr">
        <is>
          <t>Conduit- Cable, PG9</t>
        </is>
      </c>
      <c r="F213" t="inlineStr">
        <is>
          <t>3m</t>
        </is>
      </c>
      <c r="G213" s="27" t="inlineStr">
        <is>
          <t>Borderline</t>
        </is>
      </c>
      <c r="H213" s="24" t="inlineStr">
        <is>
          <t>Bulk stock issued by length - consumable-class in inventory, not used up per se</t>
        </is>
      </c>
      <c r="I213" t="inlineStr">
        <is>
          <t>Kaustubh</t>
        </is>
      </c>
      <c r="J213" t="inlineStr">
        <is>
          <t>India</t>
        </is>
      </c>
      <c r="K213" t="inlineStr">
        <is>
          <t>No</t>
        </is>
      </c>
      <c r="L213" t="inlineStr">
        <is>
          <t>PR-2026-1650</t>
        </is>
      </c>
      <c r="M213" t="inlineStr">
        <is>
          <t>PR Raised</t>
        </is>
      </c>
      <c r="N213" t="inlineStr">
        <is>
          <t>NY Stationary (stays in NY inventory)</t>
        </is>
      </c>
    </row>
    <row r="214">
      <c r="A214" t="n">
        <v>213</v>
      </c>
      <c r="B214" t="n">
        <v>13</v>
      </c>
      <c r="C214" t="inlineStr">
        <is>
          <t>Wire, connector, cables &amp; crimps</t>
        </is>
      </c>
      <c r="D214" t="inlineStr">
        <is>
          <t>13-J Cable Management</t>
        </is>
      </c>
      <c r="E214" s="24" t="inlineStr">
        <is>
          <t>Conduit - Cable, PG11</t>
        </is>
      </c>
      <c r="F214" t="inlineStr">
        <is>
          <t>3m</t>
        </is>
      </c>
      <c r="G214" s="27" t="inlineStr">
        <is>
          <t>Borderline</t>
        </is>
      </c>
      <c r="H214" s="24" t="inlineStr">
        <is>
          <t>Bulk stock issued by length - consumable-class in inventory, not used up per se</t>
        </is>
      </c>
      <c r="I214" t="inlineStr">
        <is>
          <t>Kaustubh</t>
        </is>
      </c>
      <c r="J214" t="inlineStr">
        <is>
          <t>India</t>
        </is>
      </c>
      <c r="K214" t="inlineStr">
        <is>
          <t>No</t>
        </is>
      </c>
      <c r="L214" t="inlineStr">
        <is>
          <t>PR-2026-1650</t>
        </is>
      </c>
      <c r="M214" t="inlineStr">
        <is>
          <t>PR Raised</t>
        </is>
      </c>
      <c r="N214" t="inlineStr">
        <is>
          <t>NY Stationary (stays in NY inventory)</t>
        </is>
      </c>
    </row>
    <row r="215">
      <c r="A215" t="n">
        <v>214</v>
      </c>
      <c r="B215" t="n">
        <v>13</v>
      </c>
      <c r="C215" t="inlineStr">
        <is>
          <t>Wire, connector, cables &amp; crimps</t>
        </is>
      </c>
      <c r="D215" t="inlineStr">
        <is>
          <t>13-J Cable Management</t>
        </is>
      </c>
      <c r="E215" s="24" t="inlineStr">
        <is>
          <t>Cable Track - 15 x 30 mm</t>
        </is>
      </c>
      <c r="F215" t="inlineStr">
        <is>
          <t>2m</t>
        </is>
      </c>
      <c r="G215" s="27" t="inlineStr">
        <is>
          <t>Borderline</t>
        </is>
      </c>
      <c r="H215" s="24" t="inlineStr">
        <is>
          <t>Bulk stock issued by length - consumable-class in inventory, not used up per se</t>
        </is>
      </c>
      <c r="I215" t="inlineStr">
        <is>
          <t>SANKALP</t>
        </is>
      </c>
      <c r="J215" t="inlineStr">
        <is>
          <t>India</t>
        </is>
      </c>
      <c r="K215" t="inlineStr">
        <is>
          <t>No</t>
        </is>
      </c>
      <c r="L215" t="inlineStr">
        <is>
          <t>PR-2026-1642</t>
        </is>
      </c>
      <c r="M215" t="inlineStr">
        <is>
          <t>PR Raised</t>
        </is>
      </c>
    </row>
    <row r="216">
      <c r="A216" t="n">
        <v>215</v>
      </c>
      <c r="B216" t="n">
        <v>13</v>
      </c>
      <c r="C216" t="inlineStr">
        <is>
          <t>Wire, connector, cables &amp; crimps</t>
        </is>
      </c>
      <c r="D216" t="inlineStr">
        <is>
          <t>13-J Cable Management</t>
        </is>
      </c>
      <c r="E216" s="24" t="inlineStr">
        <is>
          <t>Cable Track - 15 x 20 mm</t>
        </is>
      </c>
      <c r="F216" t="inlineStr">
        <is>
          <t>7m</t>
        </is>
      </c>
      <c r="G216" s="27" t="inlineStr">
        <is>
          <t>Borderline</t>
        </is>
      </c>
      <c r="H216" s="24" t="inlineStr">
        <is>
          <t>Bulk stock issued by length - consumable-class in inventory, not used up per se</t>
        </is>
      </c>
      <c r="I216" t="inlineStr">
        <is>
          <t>Kaustubh</t>
        </is>
      </c>
      <c r="J216" t="inlineStr">
        <is>
          <t>India</t>
        </is>
      </c>
      <c r="K216" t="inlineStr">
        <is>
          <t>No</t>
        </is>
      </c>
      <c r="L216" t="inlineStr">
        <is>
          <t>PR-2026-1643</t>
        </is>
      </c>
      <c r="M216" t="inlineStr">
        <is>
          <t>In stock</t>
        </is>
      </c>
    </row>
    <row r="217">
      <c r="A217" t="n">
        <v>216</v>
      </c>
      <c r="B217" t="n">
        <v>13</v>
      </c>
      <c r="C217" t="inlineStr">
        <is>
          <t>Wire, connector, cables &amp; crimps</t>
        </is>
      </c>
      <c r="D217" t="inlineStr">
        <is>
          <t>13-J Cable Management</t>
        </is>
      </c>
      <c r="E217" s="24" t="inlineStr">
        <is>
          <t>Mount - Cable Track (3D printed)</t>
        </is>
      </c>
      <c r="F217" t="inlineStr">
        <is>
          <t>5</t>
        </is>
      </c>
      <c r="G217" s="26" t="inlineStr">
        <is>
          <t>Not consumable</t>
        </is>
      </c>
      <c r="H217" s="24" t="inlineStr">
        <is>
          <t>Durable equipment / spare component</t>
        </is>
      </c>
      <c r="I217" t="inlineStr">
        <is>
          <t>SANKALP</t>
        </is>
      </c>
      <c r="J217" t="inlineStr">
        <is>
          <t>India</t>
        </is>
      </c>
      <c r="K217" t="inlineStr">
        <is>
          <t>No</t>
        </is>
      </c>
      <c r="M217" t="inlineStr">
        <is>
          <t>To be Printed</t>
        </is>
      </c>
    </row>
    <row r="218">
      <c r="A218" t="n">
        <v>217</v>
      </c>
      <c r="B218" t="n">
        <v>13</v>
      </c>
      <c r="C218" t="inlineStr">
        <is>
          <t>Wire, connector, cables &amp; crimps</t>
        </is>
      </c>
      <c r="D218" t="inlineStr">
        <is>
          <t>13-J Cable Management</t>
        </is>
      </c>
      <c r="E218" s="24" t="inlineStr">
        <is>
          <t>Conduit - Hose &amp; Wire, 2 in dia x 12 ft - sander</t>
        </is>
      </c>
      <c r="F218" t="inlineStr">
        <is>
          <t>1</t>
        </is>
      </c>
      <c r="G218" s="27" t="inlineStr">
        <is>
          <t>Borderline</t>
        </is>
      </c>
      <c r="H218" s="24" t="inlineStr">
        <is>
          <t>Bulk stock issued by length - consumable-class in inventory, not used up per se</t>
        </is>
      </c>
      <c r="I218" t="inlineStr">
        <is>
          <t>SANKALP</t>
        </is>
      </c>
      <c r="J218" t="inlineStr">
        <is>
          <t>India</t>
        </is>
      </c>
      <c r="K218" t="inlineStr">
        <is>
          <t>No</t>
        </is>
      </c>
      <c r="M218" t="inlineStr">
        <is>
          <t>In stock</t>
        </is>
      </c>
    </row>
    <row r="219">
      <c r="A219" t="n">
        <v>218</v>
      </c>
      <c r="B219" t="n">
        <v>13</v>
      </c>
      <c r="C219" t="inlineStr">
        <is>
          <t>Wire, connector, cables &amp; crimps</t>
        </is>
      </c>
      <c r="D219" t="inlineStr">
        <is>
          <t>13-J Cable Management</t>
        </is>
      </c>
      <c r="E219" s="24" t="inlineStr">
        <is>
          <t>Zip Tie - Stainless Steel, SS304-30046</t>
        </is>
      </c>
      <c r="F219" t="inlineStr">
        <is>
          <t>50</t>
        </is>
      </c>
      <c r="G219" s="25" t="inlineStr">
        <is>
          <t>Consumable</t>
        </is>
      </c>
      <c r="H219" s="24" t="inlineStr">
        <is>
          <t>Single-use cable-management consumable</t>
        </is>
      </c>
      <c r="I219" t="inlineStr">
        <is>
          <t>Anand</t>
        </is>
      </c>
      <c r="J219" t="inlineStr">
        <is>
          <t>India</t>
        </is>
      </c>
      <c r="K219" t="inlineStr">
        <is>
          <t>No</t>
        </is>
      </c>
      <c r="M219" t="inlineStr">
        <is>
          <t>In stock</t>
        </is>
      </c>
    </row>
    <row r="220">
      <c r="A220" t="n">
        <v>219</v>
      </c>
      <c r="B220" t="n">
        <v>13</v>
      </c>
      <c r="C220" t="inlineStr">
        <is>
          <t>Diagnostic &amp; repair tools</t>
        </is>
      </c>
      <c r="D220" t="inlineStr">
        <is>
          <t>13-K Crimping Tools</t>
        </is>
      </c>
      <c r="E220" s="24" t="inlineStr">
        <is>
          <t>Crimping Tool - Engineer PA-09</t>
        </is>
      </c>
      <c r="F220" t="inlineStr">
        <is>
          <t>1</t>
        </is>
      </c>
      <c r="G220" s="26" t="inlineStr">
        <is>
          <t>Not consumable</t>
        </is>
      </c>
      <c r="H220" s="24" t="inlineStr">
        <is>
          <t>Durable equipment / spare component</t>
        </is>
      </c>
      <c r="I220" t="inlineStr">
        <is>
          <t>Badri</t>
        </is>
      </c>
      <c r="J220" t="inlineStr">
        <is>
          <t>India</t>
        </is>
      </c>
      <c r="K220" t="inlineStr">
        <is>
          <t>No</t>
        </is>
      </c>
      <c r="M220" t="inlineStr">
        <is>
          <t>PR Raised</t>
        </is>
      </c>
    </row>
    <row r="221">
      <c r="A221" t="n">
        <v>220</v>
      </c>
      <c r="B221" t="n">
        <v>14</v>
      </c>
      <c r="C221" t="inlineStr">
        <is>
          <t>Custom PCB</t>
        </is>
      </c>
      <c r="D221" t="inlineStr">
        <is>
          <t>14-A Controller, GPIO, IMD &amp; Comms PCBs</t>
        </is>
      </c>
      <c r="E221" s="24" t="inlineStr">
        <is>
          <t>PCB - DC IMD, V1.0</t>
        </is>
      </c>
      <c r="F221" t="inlineStr">
        <is>
          <t>1</t>
        </is>
      </c>
      <c r="G221" s="26" t="inlineStr">
        <is>
          <t>Not consumable</t>
        </is>
      </c>
      <c r="H221" s="24" t="inlineStr">
        <is>
          <t>Durable equipment / spare component</t>
        </is>
      </c>
      <c r="I221" t="inlineStr">
        <is>
          <t>Badri</t>
        </is>
      </c>
      <c r="J221" t="inlineStr">
        <is>
          <t>India</t>
        </is>
      </c>
      <c r="K221" t="inlineStr">
        <is>
          <t>No</t>
        </is>
      </c>
      <c r="M221" t="inlineStr">
        <is>
          <t>IQC Stage</t>
        </is>
      </c>
      <c r="N221" t="inlineStr">
        <is>
          <t>Mobile (travels with robot)</t>
        </is>
      </c>
    </row>
    <row r="222">
      <c r="A222" t="n">
        <v>221</v>
      </c>
      <c r="B222" t="n">
        <v>14</v>
      </c>
      <c r="C222" t="inlineStr">
        <is>
          <t>Custom PCB</t>
        </is>
      </c>
      <c r="D222" t="inlineStr">
        <is>
          <t>14-A Controller, GPIO, IMD &amp; Comms PCBs</t>
        </is>
      </c>
      <c r="E222" s="24" t="inlineStr">
        <is>
          <t>PCB - ASB, V1.1</t>
        </is>
      </c>
      <c r="F222" t="inlineStr">
        <is>
          <t>1</t>
        </is>
      </c>
      <c r="G222" s="26" t="inlineStr">
        <is>
          <t>Not consumable</t>
        </is>
      </c>
      <c r="H222" s="24" t="inlineStr">
        <is>
          <t>Durable equipment / spare component</t>
        </is>
      </c>
      <c r="I222" t="inlineStr">
        <is>
          <t>Badri</t>
        </is>
      </c>
      <c r="J222" t="inlineStr">
        <is>
          <t>India</t>
        </is>
      </c>
      <c r="K222" t="inlineStr">
        <is>
          <t>No</t>
        </is>
      </c>
      <c r="M222" t="inlineStr">
        <is>
          <t>PR Raised</t>
        </is>
      </c>
      <c r="N222" t="inlineStr">
        <is>
          <t>Mobile (travels with robot)</t>
        </is>
      </c>
    </row>
    <row r="223">
      <c r="A223" t="n">
        <v>222</v>
      </c>
      <c r="B223" t="n">
        <v>14</v>
      </c>
      <c r="C223" t="inlineStr">
        <is>
          <t>Custom PCB</t>
        </is>
      </c>
      <c r="D223" t="inlineStr">
        <is>
          <t>14-A Controller, GPIO, IMD &amp; Comms PCBs</t>
        </is>
      </c>
      <c r="E223" s="24" t="inlineStr">
        <is>
          <t>PCB - Tool CAN Termination V1.0</t>
        </is>
      </c>
      <c r="F223" t="inlineStr">
        <is>
          <t>2</t>
        </is>
      </c>
      <c r="G223" s="26" t="inlineStr">
        <is>
          <t>Not consumable</t>
        </is>
      </c>
      <c r="H223" s="24" t="inlineStr">
        <is>
          <t>Durable equipment / spare component</t>
        </is>
      </c>
      <c r="I223" t="inlineStr">
        <is>
          <t>Badri</t>
        </is>
      </c>
      <c r="J223" t="inlineStr">
        <is>
          <t>India</t>
        </is>
      </c>
      <c r="K223" t="inlineStr">
        <is>
          <t>No</t>
        </is>
      </c>
      <c r="M223" t="inlineStr">
        <is>
          <t>IQC Stage</t>
        </is>
      </c>
      <c r="N223" t="inlineStr">
        <is>
          <t>Mobile (travels with robot)</t>
        </is>
      </c>
    </row>
    <row r="224">
      <c r="A224" t="n">
        <v>223</v>
      </c>
      <c r="B224" t="n">
        <v>14</v>
      </c>
      <c r="C224" t="inlineStr">
        <is>
          <t>Custom PCB</t>
        </is>
      </c>
      <c r="D224" t="inlineStr">
        <is>
          <t>14-A Controller, GPIO, IMD &amp; Comms PCBs</t>
        </is>
      </c>
      <c r="E224" s="24" t="inlineStr">
        <is>
          <t>PCB - Controller GPIO, V1.1</t>
        </is>
      </c>
      <c r="F224" t="inlineStr">
        <is>
          <t>1</t>
        </is>
      </c>
      <c r="G224" s="26" t="inlineStr">
        <is>
          <t>Not consumable</t>
        </is>
      </c>
      <c r="H224" s="24" t="inlineStr">
        <is>
          <t>Durable equipment / spare component</t>
        </is>
      </c>
      <c r="I224" t="inlineStr">
        <is>
          <t>Badri</t>
        </is>
      </c>
      <c r="J224" t="inlineStr">
        <is>
          <t>India</t>
        </is>
      </c>
      <c r="K224" t="inlineStr">
        <is>
          <t>No</t>
        </is>
      </c>
      <c r="M224" t="inlineStr">
        <is>
          <t>PR Raised</t>
        </is>
      </c>
      <c r="N224" t="inlineStr">
        <is>
          <t>NY Stationary (stays in NY inventory)</t>
        </is>
      </c>
    </row>
    <row r="225">
      <c r="A225" t="n">
        <v>224</v>
      </c>
      <c r="B225" t="n">
        <v>14</v>
      </c>
      <c r="C225" t="inlineStr">
        <is>
          <t>Custom PCB</t>
        </is>
      </c>
      <c r="D225" t="inlineStr">
        <is>
          <t>14-A Controller, GPIO, IMD &amp; Comms PCBs</t>
        </is>
      </c>
      <c r="E225" s="24" t="inlineStr">
        <is>
          <t>PCB - Planner GPIO, V1.1</t>
        </is>
      </c>
      <c r="F225" t="inlineStr">
        <is>
          <t>1</t>
        </is>
      </c>
      <c r="G225" s="26" t="inlineStr">
        <is>
          <t>Not consumable</t>
        </is>
      </c>
      <c r="H225" s="24" t="inlineStr">
        <is>
          <t>Durable equipment / spare component</t>
        </is>
      </c>
      <c r="I225" t="inlineStr">
        <is>
          <t>Badri</t>
        </is>
      </c>
      <c r="J225" t="inlineStr">
        <is>
          <t>India</t>
        </is>
      </c>
      <c r="K225" t="inlineStr">
        <is>
          <t>No</t>
        </is>
      </c>
      <c r="M225" t="inlineStr">
        <is>
          <t>IQC Stage</t>
        </is>
      </c>
      <c r="N225" t="inlineStr">
        <is>
          <t>Mobile (travels with robot)</t>
        </is>
      </c>
    </row>
    <row r="226">
      <c r="A226" t="n">
        <v>225</v>
      </c>
      <c r="B226" t="n">
        <v>14</v>
      </c>
      <c r="C226" t="inlineStr">
        <is>
          <t>Custom PCB</t>
        </is>
      </c>
      <c r="D226" t="inlineStr">
        <is>
          <t>14-A Controller, GPIO, IMD &amp; Comms PCBs</t>
        </is>
      </c>
      <c r="E226" s="24" t="inlineStr">
        <is>
          <t>PCB - EOA Sprayer Protoboard assembled</t>
        </is>
      </c>
      <c r="F226" t="inlineStr">
        <is>
          <t>2.0</t>
        </is>
      </c>
      <c r="G226" s="26" t="inlineStr">
        <is>
          <t>Not consumable</t>
        </is>
      </c>
      <c r="H226" s="24" t="inlineStr">
        <is>
          <t>Durable equipment / spare component</t>
        </is>
      </c>
      <c r="I226" t="inlineStr">
        <is>
          <t>Uttez</t>
        </is>
      </c>
      <c r="J226" t="inlineStr">
        <is>
          <t>India</t>
        </is>
      </c>
      <c r="K226" t="inlineStr">
        <is>
          <t>No</t>
        </is>
      </c>
      <c r="M226" t="inlineStr">
        <is>
          <t>In stock</t>
        </is>
      </c>
      <c r="N226" t="inlineStr">
        <is>
          <t>Mobile (travels with robot)</t>
        </is>
      </c>
    </row>
    <row r="227">
      <c r="A227" t="n">
        <v>226</v>
      </c>
      <c r="B227" t="n">
        <v>14</v>
      </c>
      <c r="C227" t="inlineStr">
        <is>
          <t>Custom PCB</t>
        </is>
      </c>
      <c r="D227" t="inlineStr">
        <is>
          <t>14-A Controller, GPIO, IMD &amp; Comms PCBs</t>
        </is>
      </c>
      <c r="E227" s="24" t="inlineStr">
        <is>
          <t>PCB - EOA Sander, EOA_SANDER_1.0</t>
        </is>
      </c>
      <c r="F227" t="inlineStr">
        <is>
          <t>1.0</t>
        </is>
      </c>
      <c r="G227" s="26" t="inlineStr">
        <is>
          <t>Not consumable</t>
        </is>
      </c>
      <c r="H227" s="24" t="inlineStr">
        <is>
          <t>Durable equipment / spare component</t>
        </is>
      </c>
      <c r="I227" t="inlineStr">
        <is>
          <t>Uttez</t>
        </is>
      </c>
      <c r="J227" t="inlineStr">
        <is>
          <t>India</t>
        </is>
      </c>
      <c r="K227" t="inlineStr">
        <is>
          <t>No</t>
        </is>
      </c>
      <c r="L227" t="inlineStr">
        <is>
          <t>PR-2026-1553</t>
        </is>
      </c>
      <c r="M227" t="inlineStr">
        <is>
          <t>Payment Done</t>
        </is>
      </c>
      <c r="N227" t="inlineStr">
        <is>
          <t>Mobile (travels with robot)</t>
        </is>
      </c>
    </row>
    <row r="228">
      <c r="A228" t="n">
        <v>227</v>
      </c>
      <c r="B228" t="n">
        <v>14</v>
      </c>
      <c r="C228" t="inlineStr">
        <is>
          <t>Custom PCB</t>
        </is>
      </c>
      <c r="D228" t="inlineStr">
        <is>
          <t>14-A Controller, GPIO, IMD &amp; Comms PCBs</t>
        </is>
      </c>
      <c r="E228" s="24" t="inlineStr">
        <is>
          <t>PCB - Assembled Tool Master - Sander, Sprayer</t>
        </is>
      </c>
      <c r="F228" t="inlineStr">
        <is>
          <t>2.0</t>
        </is>
      </c>
      <c r="G228" s="26" t="inlineStr">
        <is>
          <t>Not consumable</t>
        </is>
      </c>
      <c r="H228" s="24" t="inlineStr">
        <is>
          <t>Durable equipment / spare component</t>
        </is>
      </c>
      <c r="I228" t="inlineStr">
        <is>
          <t>Uttez</t>
        </is>
      </c>
      <c r="J228" t="inlineStr">
        <is>
          <t>India</t>
        </is>
      </c>
      <c r="K228" t="inlineStr">
        <is>
          <t>Yes</t>
        </is>
      </c>
      <c r="L228" t="inlineStr">
        <is>
          <t>PR-2026-1557</t>
        </is>
      </c>
      <c r="M228" t="inlineStr">
        <is>
          <t>Payment Done</t>
        </is>
      </c>
    </row>
    <row r="229">
      <c r="A229" t="n">
        <v>228</v>
      </c>
      <c r="B229" t="n">
        <v>14</v>
      </c>
      <c r="C229" t="inlineStr">
        <is>
          <t>Custom PCB</t>
        </is>
      </c>
      <c r="D229" t="inlineStr">
        <is>
          <t>14-A Controller, GPIO, IMD &amp; Comms PCBs</t>
        </is>
      </c>
      <c r="E229" s="24" t="inlineStr">
        <is>
          <t>PCB - Assembled Sprayer Tool Controller</t>
        </is>
      </c>
      <c r="F229" t="inlineStr">
        <is>
          <t>1.0</t>
        </is>
      </c>
      <c r="G229" s="26" t="inlineStr">
        <is>
          <t>Not consumable</t>
        </is>
      </c>
      <c r="H229" s="24" t="inlineStr">
        <is>
          <t>Durable equipment / spare component</t>
        </is>
      </c>
      <c r="I229" t="inlineStr">
        <is>
          <t>Uttez</t>
        </is>
      </c>
      <c r="J229" t="inlineStr">
        <is>
          <t>India</t>
        </is>
      </c>
      <c r="K229" t="inlineStr">
        <is>
          <t>Yes</t>
        </is>
      </c>
      <c r="L229" t="inlineStr">
        <is>
          <t>PR-2026-1558</t>
        </is>
      </c>
      <c r="M229" t="inlineStr">
        <is>
          <t>Payment Done</t>
        </is>
      </c>
    </row>
    <row r="230">
      <c r="A230" t="n">
        <v>229</v>
      </c>
      <c r="B230" t="n">
        <v>14</v>
      </c>
      <c r="C230" t="inlineStr">
        <is>
          <t>Custom PCB</t>
        </is>
      </c>
      <c r="D230" t="inlineStr">
        <is>
          <t>14-A Controller, GPIO, IMD &amp; Comms PCBs</t>
        </is>
      </c>
      <c r="E230" s="24" t="inlineStr">
        <is>
          <t>PCB - Assembled Sander Tool Controller</t>
        </is>
      </c>
      <c r="F230" t="inlineStr">
        <is>
          <t>1.0</t>
        </is>
      </c>
      <c r="G230" s="26" t="inlineStr">
        <is>
          <t>Not consumable</t>
        </is>
      </c>
      <c r="H230" s="24" t="inlineStr">
        <is>
          <t>Durable equipment / spare component</t>
        </is>
      </c>
      <c r="I230" t="inlineStr">
        <is>
          <t>Uttez</t>
        </is>
      </c>
      <c r="J230" t="inlineStr">
        <is>
          <t>India</t>
        </is>
      </c>
      <c r="K230" t="inlineStr">
        <is>
          <t>Yes</t>
        </is>
      </c>
      <c r="L230" t="inlineStr">
        <is>
          <t>PR-2026-1560</t>
        </is>
      </c>
      <c r="M230" t="inlineStr">
        <is>
          <t>Payment Done</t>
        </is>
      </c>
    </row>
    <row r="231">
      <c r="A231" t="n">
        <v>230</v>
      </c>
      <c r="B231" t="n">
        <v>14</v>
      </c>
      <c r="C231" t="inlineStr">
        <is>
          <t>Custom PCB</t>
        </is>
      </c>
      <c r="D231" t="inlineStr">
        <is>
          <t>14-D LED Driver Boards</t>
        </is>
      </c>
      <c r="E231" s="24" t="inlineStr">
        <is>
          <t>LED Driver - NLDD-1400H</t>
        </is>
      </c>
      <c r="F231" t="inlineStr">
        <is>
          <t>3.0</t>
        </is>
      </c>
      <c r="G231" s="26" t="inlineStr">
        <is>
          <t>Not consumable</t>
        </is>
      </c>
      <c r="H231" s="24" t="inlineStr">
        <is>
          <t>Durable equipment / spare component</t>
        </is>
      </c>
      <c r="I231" t="inlineStr">
        <is>
          <t>Badri</t>
        </is>
      </c>
      <c r="J231" t="inlineStr">
        <is>
          <t>India</t>
        </is>
      </c>
      <c r="K231" t="inlineStr">
        <is>
          <t>Yes</t>
        </is>
      </c>
      <c r="L231" t="inlineStr">
        <is>
          <t>PR-2026-1540</t>
        </is>
      </c>
      <c r="M231" t="inlineStr">
        <is>
          <t>In stock</t>
        </is>
      </c>
      <c r="N231" t="inlineStr">
        <is>
          <t>NY Stationary (stays in NY inventory)</t>
        </is>
      </c>
    </row>
    <row r="232">
      <c r="A232" t="n">
        <v>231</v>
      </c>
      <c r="B232" t="n">
        <v>14</v>
      </c>
      <c r="C232" t="inlineStr">
        <is>
          <t>Custom PCB</t>
        </is>
      </c>
      <c r="D232" t="inlineStr">
        <is>
          <t>14-F PCB Enclosures</t>
        </is>
      </c>
      <c r="E232" s="24" t="inlineStr">
        <is>
          <t>Enclosure - EOA PCB (3D printed)</t>
        </is>
      </c>
      <c r="F232" t="inlineStr">
        <is>
          <t>1</t>
        </is>
      </c>
      <c r="G232" s="26" t="inlineStr">
        <is>
          <t>Not consumable</t>
        </is>
      </c>
      <c r="H232" s="24" t="inlineStr">
        <is>
          <t>Durable equipment / spare component</t>
        </is>
      </c>
      <c r="I232" t="inlineStr">
        <is>
          <t>SANKALP</t>
        </is>
      </c>
      <c r="J232" t="inlineStr">
        <is>
          <t>India</t>
        </is>
      </c>
      <c r="K232" t="inlineStr">
        <is>
          <t>No</t>
        </is>
      </c>
      <c r="M232" t="inlineStr">
        <is>
          <t>To be Printed</t>
        </is>
      </c>
    </row>
    <row r="233">
      <c r="A233" t="n">
        <v>232</v>
      </c>
      <c r="B233" t="n">
        <v>15</v>
      </c>
      <c r="C233" t="inlineStr">
        <is>
          <t>Mechanical EOA</t>
        </is>
      </c>
      <c r="D233" t="inlineStr">
        <is>
          <t>15-A EOA Printed Parts - Sprayer</t>
        </is>
      </c>
      <c r="E233" s="24" t="inlineStr">
        <is>
          <t>Printed Part - SPR EoA Base</t>
        </is>
      </c>
      <c r="F233" t="inlineStr">
        <is>
          <t>1</t>
        </is>
      </c>
      <c r="G233" s="26" t="inlineStr">
        <is>
          <t>Not consumable</t>
        </is>
      </c>
      <c r="H233" s="24" t="inlineStr">
        <is>
          <t>Durable equipment / spare component</t>
        </is>
      </c>
      <c r="I233" t="inlineStr">
        <is>
          <t>Anand</t>
        </is>
      </c>
      <c r="J233" t="inlineStr">
        <is>
          <t>India</t>
        </is>
      </c>
      <c r="K233" t="inlineStr">
        <is>
          <t>No</t>
        </is>
      </c>
      <c r="M233" t="inlineStr">
        <is>
          <t>In stock</t>
        </is>
      </c>
    </row>
    <row r="234">
      <c r="A234" t="n">
        <v>233</v>
      </c>
      <c r="B234" t="n">
        <v>15</v>
      </c>
      <c r="C234" t="inlineStr">
        <is>
          <t>Mechanical EOA</t>
        </is>
      </c>
      <c r="D234" t="inlineStr">
        <is>
          <t>15-A EOA Printed Parts - Sprayer</t>
        </is>
      </c>
      <c r="E234" s="24" t="inlineStr">
        <is>
          <t>Printed Part - SPR EoA Camera Mount</t>
        </is>
      </c>
      <c r="F234" t="inlineStr">
        <is>
          <t>1</t>
        </is>
      </c>
      <c r="G234" s="26" t="inlineStr">
        <is>
          <t>Not consumable</t>
        </is>
      </c>
      <c r="H234" s="24" t="inlineStr">
        <is>
          <t>Durable equipment / spare component</t>
        </is>
      </c>
      <c r="I234" t="inlineStr">
        <is>
          <t>Anand</t>
        </is>
      </c>
      <c r="J234" t="inlineStr">
        <is>
          <t>India</t>
        </is>
      </c>
      <c r="K234" t="inlineStr">
        <is>
          <t>No</t>
        </is>
      </c>
      <c r="M234" t="inlineStr">
        <is>
          <t>In stock</t>
        </is>
      </c>
    </row>
    <row r="235">
      <c r="A235" t="n">
        <v>234</v>
      </c>
      <c r="B235" t="n">
        <v>15</v>
      </c>
      <c r="C235" t="inlineStr">
        <is>
          <t>Mechanical EOA</t>
        </is>
      </c>
      <c r="D235" t="inlineStr">
        <is>
          <t>15-A EOA Printed Parts - Sprayer</t>
        </is>
      </c>
      <c r="E235" s="24" t="inlineStr">
        <is>
          <t>Printed Part - SPR EoA PCB Box</t>
        </is>
      </c>
      <c r="F235" t="inlineStr">
        <is>
          <t>1</t>
        </is>
      </c>
      <c r="G235" s="26" t="inlineStr">
        <is>
          <t>Not consumable</t>
        </is>
      </c>
      <c r="H235" s="24" t="inlineStr">
        <is>
          <t>Durable equipment / spare component</t>
        </is>
      </c>
      <c r="I235" t="inlineStr">
        <is>
          <t>Anand</t>
        </is>
      </c>
      <c r="J235" t="inlineStr">
        <is>
          <t>India</t>
        </is>
      </c>
      <c r="K235" t="inlineStr">
        <is>
          <t>No</t>
        </is>
      </c>
      <c r="M235" t="inlineStr">
        <is>
          <t>In stock</t>
        </is>
      </c>
    </row>
    <row r="236">
      <c r="A236" t="n">
        <v>235</v>
      </c>
      <c r="B236" t="n">
        <v>15</v>
      </c>
      <c r="C236" t="inlineStr">
        <is>
          <t>Mechanical EOA</t>
        </is>
      </c>
      <c r="D236" t="inlineStr">
        <is>
          <t>15-A EOA Printed Parts - Sprayer</t>
        </is>
      </c>
      <c r="E236" s="24" t="inlineStr">
        <is>
          <t>Printed Part - SPR EoA PCB Lid</t>
        </is>
      </c>
      <c r="F236" t="inlineStr">
        <is>
          <t>1</t>
        </is>
      </c>
      <c r="G236" s="26" t="inlineStr">
        <is>
          <t>Not consumable</t>
        </is>
      </c>
      <c r="H236" s="24" t="inlineStr">
        <is>
          <t>Durable equipment / spare component</t>
        </is>
      </c>
      <c r="I236" t="inlineStr">
        <is>
          <t>Anand</t>
        </is>
      </c>
      <c r="J236" t="inlineStr">
        <is>
          <t>India</t>
        </is>
      </c>
      <c r="K236" t="inlineStr">
        <is>
          <t>No</t>
        </is>
      </c>
      <c r="M236" t="inlineStr">
        <is>
          <t>In stock</t>
        </is>
      </c>
    </row>
    <row r="237">
      <c r="A237" t="n">
        <v>236</v>
      </c>
      <c r="B237" t="n">
        <v>15</v>
      </c>
      <c r="C237" t="inlineStr">
        <is>
          <t>Mechanical EOA</t>
        </is>
      </c>
      <c r="D237" t="inlineStr">
        <is>
          <t>15-A EOA Printed Parts - Sprayer</t>
        </is>
      </c>
      <c r="E237" s="24" t="inlineStr">
        <is>
          <t>Printed Part - SPR EoA Camera Stress Relief Base</t>
        </is>
      </c>
      <c r="F237" t="inlineStr">
        <is>
          <t>1</t>
        </is>
      </c>
      <c r="G237" s="26" t="inlineStr">
        <is>
          <t>Not consumable</t>
        </is>
      </c>
      <c r="H237" s="24" t="inlineStr">
        <is>
          <t>Durable equipment / spare component</t>
        </is>
      </c>
      <c r="I237" t="inlineStr">
        <is>
          <t>Anand</t>
        </is>
      </c>
      <c r="J237" t="inlineStr">
        <is>
          <t>India</t>
        </is>
      </c>
      <c r="K237" t="inlineStr">
        <is>
          <t>No</t>
        </is>
      </c>
      <c r="M237" t="inlineStr">
        <is>
          <t>In stock</t>
        </is>
      </c>
    </row>
    <row r="238">
      <c r="A238" t="n">
        <v>237</v>
      </c>
      <c r="B238" t="n">
        <v>15</v>
      </c>
      <c r="C238" t="inlineStr">
        <is>
          <t>Mechanical EOA</t>
        </is>
      </c>
      <c r="D238" t="inlineStr">
        <is>
          <t>15-A EOA Printed Parts - Sprayer</t>
        </is>
      </c>
      <c r="E238" s="24" t="inlineStr">
        <is>
          <t>Printed Part - SPR EoA Camera Stress Relief Lid</t>
        </is>
      </c>
      <c r="F238" t="inlineStr">
        <is>
          <t>1</t>
        </is>
      </c>
      <c r="G238" s="26" t="inlineStr">
        <is>
          <t>Not consumable</t>
        </is>
      </c>
      <c r="H238" s="24" t="inlineStr">
        <is>
          <t>Durable equipment / spare component</t>
        </is>
      </c>
      <c r="I238" t="inlineStr">
        <is>
          <t>Anand</t>
        </is>
      </c>
      <c r="J238" t="inlineStr">
        <is>
          <t>India</t>
        </is>
      </c>
      <c r="K238" t="inlineStr">
        <is>
          <t>No</t>
        </is>
      </c>
      <c r="M238" t="inlineStr">
        <is>
          <t>In stock</t>
        </is>
      </c>
    </row>
    <row r="239">
      <c r="A239" t="n">
        <v>238</v>
      </c>
      <c r="B239" t="n">
        <v>15</v>
      </c>
      <c r="C239" t="inlineStr">
        <is>
          <t>Mechanical EOA</t>
        </is>
      </c>
      <c r="D239" t="inlineStr">
        <is>
          <t>15-A EOA Printed Parts - Sprayer</t>
        </is>
      </c>
      <c r="E239" s="24" t="inlineStr">
        <is>
          <t>Printed Part - SPR EoA Camera Cover</t>
        </is>
      </c>
      <c r="F239" t="inlineStr">
        <is>
          <t>1</t>
        </is>
      </c>
      <c r="G239" s="26" t="inlineStr">
        <is>
          <t>Not consumable</t>
        </is>
      </c>
      <c r="H239" s="24" t="inlineStr">
        <is>
          <t>Durable equipment / spare component</t>
        </is>
      </c>
      <c r="I239" t="inlineStr">
        <is>
          <t>Anand</t>
        </is>
      </c>
      <c r="J239" t="inlineStr">
        <is>
          <t>India</t>
        </is>
      </c>
      <c r="K239" t="inlineStr">
        <is>
          <t>No</t>
        </is>
      </c>
      <c r="M239" t="inlineStr">
        <is>
          <t>In stock</t>
        </is>
      </c>
    </row>
    <row r="240">
      <c r="A240" t="n">
        <v>239</v>
      </c>
      <c r="B240" t="n">
        <v>15</v>
      </c>
      <c r="C240" t="inlineStr">
        <is>
          <t>Mechanical EOA</t>
        </is>
      </c>
      <c r="D240" t="inlineStr">
        <is>
          <t>15-B EOA Printed Parts - Sander</t>
        </is>
      </c>
      <c r="E240" s="24" t="inlineStr">
        <is>
          <t>Printed Part - EOA Camera Housing, TPU</t>
        </is>
      </c>
      <c r="F240" t="inlineStr">
        <is>
          <t>1</t>
        </is>
      </c>
      <c r="G240" s="26" t="inlineStr">
        <is>
          <t>Not consumable</t>
        </is>
      </c>
      <c r="H240" s="24" t="inlineStr">
        <is>
          <t>Durable equipment / spare component</t>
        </is>
      </c>
      <c r="I240" t="inlineStr">
        <is>
          <t>SANKALP</t>
        </is>
      </c>
      <c r="J240" t="inlineStr">
        <is>
          <t>India</t>
        </is>
      </c>
      <c r="K240" t="inlineStr">
        <is>
          <t>No</t>
        </is>
      </c>
      <c r="M240" t="inlineStr">
        <is>
          <t>To be Printed</t>
        </is>
      </c>
    </row>
    <row r="241">
      <c r="A241" t="n">
        <v>240</v>
      </c>
      <c r="B241" t="n">
        <v>15</v>
      </c>
      <c r="C241" t="inlineStr">
        <is>
          <t>Mechanical EOA</t>
        </is>
      </c>
      <c r="D241" t="inlineStr">
        <is>
          <t>15-B EOA Printed Parts - Sander</t>
        </is>
      </c>
      <c r="E241" s="24" t="inlineStr">
        <is>
          <t>Printed Part - EOA Sander Mount</t>
        </is>
      </c>
      <c r="F241" t="inlineStr">
        <is>
          <t>1</t>
        </is>
      </c>
      <c r="G241" s="26" t="inlineStr">
        <is>
          <t>Not consumable</t>
        </is>
      </c>
      <c r="H241" s="24" t="inlineStr">
        <is>
          <t>Durable equipment / spare component</t>
        </is>
      </c>
      <c r="I241" t="inlineStr">
        <is>
          <t>SANKALP</t>
        </is>
      </c>
      <c r="J241" t="inlineStr">
        <is>
          <t>India</t>
        </is>
      </c>
      <c r="K241" t="inlineStr">
        <is>
          <t>No</t>
        </is>
      </c>
      <c r="M241" t="inlineStr">
        <is>
          <t>To be Printed</t>
        </is>
      </c>
    </row>
    <row r="242">
      <c r="A242" t="n">
        <v>241</v>
      </c>
      <c r="B242" t="n">
        <v>15</v>
      </c>
      <c r="C242" t="inlineStr">
        <is>
          <t>Mechanical EOA</t>
        </is>
      </c>
      <c r="D242" t="inlineStr">
        <is>
          <t>15-B EOA Printed Parts - Sander</t>
        </is>
      </c>
      <c r="E242" s="24" t="inlineStr">
        <is>
          <t>Mount - EOA Light (3D printed)</t>
        </is>
      </c>
      <c r="F242" t="inlineStr">
        <is>
          <t>1</t>
        </is>
      </c>
      <c r="G242" s="26" t="inlineStr">
        <is>
          <t>Not consumable</t>
        </is>
      </c>
      <c r="H242" s="24" t="inlineStr">
        <is>
          <t>Durable equipment / spare component</t>
        </is>
      </c>
      <c r="I242" t="inlineStr">
        <is>
          <t>SANKALP</t>
        </is>
      </c>
      <c r="J242" t="inlineStr">
        <is>
          <t>India</t>
        </is>
      </c>
      <c r="K242" t="inlineStr">
        <is>
          <t>No</t>
        </is>
      </c>
      <c r="M242" t="inlineStr">
        <is>
          <t>To be Printed</t>
        </is>
      </c>
    </row>
    <row r="243">
      <c r="A243" t="n">
        <v>242</v>
      </c>
      <c r="B243" t="n">
        <v>15</v>
      </c>
      <c r="C243" t="inlineStr">
        <is>
          <t>Mechanical EOA</t>
        </is>
      </c>
      <c r="D243" t="inlineStr">
        <is>
          <t>15-B EOA Printed Parts - Sander</t>
        </is>
      </c>
      <c r="E243" s="24" t="inlineStr">
        <is>
          <t>Printed Part - EOA Sander U-Part</t>
        </is>
      </c>
      <c r="F243" t="inlineStr">
        <is>
          <t>1</t>
        </is>
      </c>
      <c r="G243" s="26" t="inlineStr">
        <is>
          <t>Not consumable</t>
        </is>
      </c>
      <c r="H243" s="24" t="inlineStr">
        <is>
          <t>Durable equipment / spare component</t>
        </is>
      </c>
      <c r="I243" t="inlineStr">
        <is>
          <t>SANKALP</t>
        </is>
      </c>
      <c r="J243" t="inlineStr">
        <is>
          <t>India</t>
        </is>
      </c>
      <c r="K243" t="inlineStr">
        <is>
          <t>No</t>
        </is>
      </c>
      <c r="M243" t="inlineStr">
        <is>
          <t>To be Printed</t>
        </is>
      </c>
    </row>
    <row r="244">
      <c r="A244" t="n">
        <v>243</v>
      </c>
      <c r="B244" t="n">
        <v>15</v>
      </c>
      <c r="C244" t="inlineStr">
        <is>
          <t>Mechanical EOA</t>
        </is>
      </c>
      <c r="D244" t="inlineStr">
        <is>
          <t>15-C EOA Printed Parts - Common</t>
        </is>
      </c>
      <c r="E244" s="24" t="inlineStr">
        <is>
          <t>Printed Part - EOA D1 Spec Housing</t>
        </is>
      </c>
      <c r="F244" t="inlineStr">
        <is>
          <t>2</t>
        </is>
      </c>
      <c r="G244" s="26" t="inlineStr">
        <is>
          <t>Not consumable</t>
        </is>
      </c>
      <c r="H244" s="24" t="inlineStr">
        <is>
          <t>Durable equipment / spare component</t>
        </is>
      </c>
      <c r="I244" t="inlineStr">
        <is>
          <t>Kaustubh</t>
        </is>
      </c>
      <c r="J244" t="inlineStr">
        <is>
          <t>Buy in US</t>
        </is>
      </c>
      <c r="K244" t="inlineStr">
        <is>
          <t>No</t>
        </is>
      </c>
      <c r="M244" t="inlineStr">
        <is>
          <t>To be Printed</t>
        </is>
      </c>
      <c r="N244" t="inlineStr">
        <is>
          <t>Mobile (travels with robot)</t>
        </is>
      </c>
    </row>
    <row r="245">
      <c r="A245" t="n">
        <v>244</v>
      </c>
      <c r="B245" t="n">
        <v>15</v>
      </c>
      <c r="C245" t="inlineStr">
        <is>
          <t>Mechanical EOA</t>
        </is>
      </c>
      <c r="D245" t="inlineStr">
        <is>
          <t>15-D EOA Compliance Ring &amp; Springs</t>
        </is>
      </c>
      <c r="E245" s="24" t="inlineStr">
        <is>
          <t>Ring - EOA Compliance (3D printed)</t>
        </is>
      </c>
      <c r="F245" t="inlineStr">
        <is>
          <t>1</t>
        </is>
      </c>
      <c r="G245" s="26" t="inlineStr">
        <is>
          <t>Not consumable</t>
        </is>
      </c>
      <c r="H245" s="24" t="inlineStr">
        <is>
          <t>Durable equipment / spare component</t>
        </is>
      </c>
      <c r="I245" t="inlineStr">
        <is>
          <t>SANKALP</t>
        </is>
      </c>
      <c r="J245" t="inlineStr">
        <is>
          <t>India</t>
        </is>
      </c>
      <c r="K245" t="inlineStr">
        <is>
          <t>No</t>
        </is>
      </c>
      <c r="M245" t="inlineStr">
        <is>
          <t>To be Printed</t>
        </is>
      </c>
    </row>
    <row r="246">
      <c r="A246" t="n">
        <v>245</v>
      </c>
      <c r="B246" t="n">
        <v>15</v>
      </c>
      <c r="C246" t="inlineStr">
        <is>
          <t>Mechanical EOA</t>
        </is>
      </c>
      <c r="D246" t="inlineStr">
        <is>
          <t>15-D EOA Compliance Ring &amp; Springs</t>
        </is>
      </c>
      <c r="E246" s="24" t="inlineStr">
        <is>
          <t>Spring - EOA Compliance, 8 x 0.55 x 35 mm</t>
        </is>
      </c>
      <c r="F246" t="inlineStr">
        <is>
          <t>12</t>
        </is>
      </c>
      <c r="G246" s="26" t="inlineStr">
        <is>
          <t>Not consumable</t>
        </is>
      </c>
      <c r="H246" s="24" t="inlineStr">
        <is>
          <t>Durable equipment / spare component</t>
        </is>
      </c>
      <c r="I246" t="inlineStr">
        <is>
          <t>SANKALP</t>
        </is>
      </c>
      <c r="J246" t="inlineStr">
        <is>
          <t>India</t>
        </is>
      </c>
      <c r="K246" t="inlineStr">
        <is>
          <t>No</t>
        </is>
      </c>
      <c r="M246" t="inlineStr">
        <is>
          <t>In stock</t>
        </is>
      </c>
    </row>
    <row r="247">
      <c r="A247" t="n">
        <v>246</v>
      </c>
      <c r="B247" t="n">
        <v>15</v>
      </c>
      <c r="C247" t="inlineStr">
        <is>
          <t>Mechanical EOA</t>
        </is>
      </c>
      <c r="D247" t="inlineStr">
        <is>
          <t>15-E EOA Heatsinks</t>
        </is>
      </c>
      <c r="E247" s="24" t="inlineStr">
        <is>
          <t>Heatsink - 10 x 10 mm - EOA lights</t>
        </is>
      </c>
      <c r="F247" t="inlineStr">
        <is>
          <t>20</t>
        </is>
      </c>
      <c r="G247" s="26" t="inlineStr">
        <is>
          <t>Not consumable</t>
        </is>
      </c>
      <c r="H247" s="24" t="inlineStr">
        <is>
          <t>Durable equipment / spare component</t>
        </is>
      </c>
      <c r="I247" t="inlineStr">
        <is>
          <t>SANKALP</t>
        </is>
      </c>
      <c r="J247" t="inlineStr">
        <is>
          <t>India</t>
        </is>
      </c>
      <c r="K247" t="inlineStr">
        <is>
          <t>No</t>
        </is>
      </c>
      <c r="L247" t="inlineStr">
        <is>
          <t>PR-2026-1670</t>
        </is>
      </c>
      <c r="M247" t="inlineStr">
        <is>
          <t>PR Raised</t>
        </is>
      </c>
    </row>
    <row r="248">
      <c r="A248" t="n">
        <v>247</v>
      </c>
      <c r="B248" t="n">
        <v>15</v>
      </c>
      <c r="C248" t="inlineStr">
        <is>
          <t>Mechanical EOA</t>
        </is>
      </c>
      <c r="D248" t="inlineStr">
        <is>
          <t>15-F EOA Fasteners</t>
        </is>
      </c>
      <c r="E248" s="24" t="inlineStr">
        <is>
          <t>Bolt - Socket Cap (SHCS), EoA Assorted Set (M5x35 x4, M5x25 x2, M4x40 x2, M4x16 x4)</t>
        </is>
      </c>
      <c r="F248" t="inlineStr">
        <is>
          <t>12</t>
        </is>
      </c>
      <c r="G248" s="25" t="inlineStr">
        <is>
          <t>Consumable</t>
        </is>
      </c>
      <c r="H248" s="24" t="inlineStr">
        <is>
          <t>Bulk fastener - consumable-class stock</t>
        </is>
      </c>
      <c r="I248" t="inlineStr">
        <is>
          <t>Anand</t>
        </is>
      </c>
      <c r="J248" t="inlineStr">
        <is>
          <t>India</t>
        </is>
      </c>
      <c r="K248" t="inlineStr">
        <is>
          <t>No</t>
        </is>
      </c>
      <c r="M248" t="inlineStr">
        <is>
          <t>In stock</t>
        </is>
      </c>
    </row>
    <row r="249">
      <c r="A249" t="n">
        <v>248</v>
      </c>
      <c r="B249" t="n">
        <v>15</v>
      </c>
      <c r="C249" t="inlineStr">
        <is>
          <t>Mechanical EOA</t>
        </is>
      </c>
      <c r="D249" t="inlineStr">
        <is>
          <t>15-F EOA Fasteners</t>
        </is>
      </c>
      <c r="E249" s="24" t="inlineStr">
        <is>
          <t>Nut - Nylon Lock, EoA Assorted Set (M5 x6, M4 x6)</t>
        </is>
      </c>
      <c r="F249" t="inlineStr">
        <is>
          <t>12</t>
        </is>
      </c>
      <c r="G249" s="25" t="inlineStr">
        <is>
          <t>Consumable</t>
        </is>
      </c>
      <c r="H249" s="24" t="inlineStr">
        <is>
          <t>Bulk fastener - consumable-class stock</t>
        </is>
      </c>
      <c r="I249" t="inlineStr">
        <is>
          <t>Anand</t>
        </is>
      </c>
      <c r="J249" t="inlineStr">
        <is>
          <t>India</t>
        </is>
      </c>
      <c r="K249" t="inlineStr">
        <is>
          <t>No</t>
        </is>
      </c>
      <c r="M249" t="inlineStr">
        <is>
          <t>In stock</t>
        </is>
      </c>
    </row>
    <row r="250">
      <c r="A250" t="n">
        <v>249</v>
      </c>
      <c r="B250" t="n">
        <v>15</v>
      </c>
      <c r="C250" t="inlineStr">
        <is>
          <t>Mechanical EOA</t>
        </is>
      </c>
      <c r="D250" t="inlineStr">
        <is>
          <t>15-G EOA Cable Track &amp; Hose Routing</t>
        </is>
      </c>
      <c r="E250" s="24" t="inlineStr">
        <is>
          <t>Mount - SPR TSM Cable Track, 18 x 37 mm</t>
        </is>
      </c>
      <c r="F250" t="inlineStr">
        <is>
          <t>1</t>
        </is>
      </c>
      <c r="G250" s="26" t="inlineStr">
        <is>
          <t>Not consumable</t>
        </is>
      </c>
      <c r="H250" s="24" t="inlineStr">
        <is>
          <t>Durable equipment / spare component</t>
        </is>
      </c>
      <c r="I250" t="inlineStr">
        <is>
          <t>Anand</t>
        </is>
      </c>
      <c r="J250" t="inlineStr">
        <is>
          <t>India</t>
        </is>
      </c>
      <c r="K250" t="inlineStr">
        <is>
          <t>No</t>
        </is>
      </c>
      <c r="M250" t="inlineStr">
        <is>
          <t>To be Printed</t>
        </is>
      </c>
    </row>
    <row r="251">
      <c r="A251" t="n">
        <v>250</v>
      </c>
      <c r="B251" t="n">
        <v>15</v>
      </c>
      <c r="C251" t="inlineStr">
        <is>
          <t>Mechanical EOA</t>
        </is>
      </c>
      <c r="D251" t="inlineStr">
        <is>
          <t>15-G EOA Cable Track &amp; Hose Routing</t>
        </is>
      </c>
      <c r="E251" s="24" t="inlineStr">
        <is>
          <t>Mount - SPR TSM Cable Track, 15 x 20 mm</t>
        </is>
      </c>
      <c r="F251" t="inlineStr">
        <is>
          <t>2</t>
        </is>
      </c>
      <c r="G251" s="26" t="inlineStr">
        <is>
          <t>Not consumable</t>
        </is>
      </c>
      <c r="H251" s="24" t="inlineStr">
        <is>
          <t>Durable equipment / spare component</t>
        </is>
      </c>
      <c r="I251" t="inlineStr">
        <is>
          <t>Anand</t>
        </is>
      </c>
      <c r="J251" t="inlineStr">
        <is>
          <t>India</t>
        </is>
      </c>
      <c r="K251" t="inlineStr">
        <is>
          <t>No</t>
        </is>
      </c>
      <c r="M251" t="inlineStr">
        <is>
          <t>In stock</t>
        </is>
      </c>
    </row>
    <row r="252">
      <c r="A252" t="n">
        <v>251</v>
      </c>
      <c r="B252" t="n">
        <v>15</v>
      </c>
      <c r="C252" t="inlineStr">
        <is>
          <t>Mechanical EOA</t>
        </is>
      </c>
      <c r="D252" t="inlineStr">
        <is>
          <t>15-G EOA Cable Track &amp; Hose Routing</t>
        </is>
      </c>
      <c r="E252" s="24" t="inlineStr">
        <is>
          <t>Clip - EOA Hose (3D printed)</t>
        </is>
      </c>
      <c r="F252" t="inlineStr">
        <is>
          <t>1</t>
        </is>
      </c>
      <c r="G252" s="26" t="inlineStr">
        <is>
          <t>Not consumable</t>
        </is>
      </c>
      <c r="H252" s="24" t="inlineStr">
        <is>
          <t>Durable equipment / spare component</t>
        </is>
      </c>
      <c r="I252" t="inlineStr">
        <is>
          <t>SANKALP</t>
        </is>
      </c>
      <c r="J252" t="inlineStr">
        <is>
          <t>India</t>
        </is>
      </c>
      <c r="K252" t="inlineStr">
        <is>
          <t>No</t>
        </is>
      </c>
      <c r="M252" t="inlineStr">
        <is>
          <t>To be Printed</t>
        </is>
      </c>
    </row>
    <row r="253">
      <c r="A253" t="n">
        <v>252</v>
      </c>
      <c r="B253" t="n">
        <v>15</v>
      </c>
      <c r="C253" t="inlineStr">
        <is>
          <t>Mechanical EOA</t>
        </is>
      </c>
      <c r="D253" t="inlineStr">
        <is>
          <t>15-G EOA Cable Track &amp; Hose Routing</t>
        </is>
      </c>
      <c r="E253" s="24" t="inlineStr">
        <is>
          <t>Printed Part - EOA Hose, TPU</t>
        </is>
      </c>
      <c r="F253" t="inlineStr">
        <is>
          <t>1</t>
        </is>
      </c>
      <c r="G253" s="26" t="inlineStr">
        <is>
          <t>Not consumable</t>
        </is>
      </c>
      <c r="H253" s="24" t="inlineStr">
        <is>
          <t>Durable equipment / spare component</t>
        </is>
      </c>
      <c r="I253" t="inlineStr">
        <is>
          <t>SANKALP</t>
        </is>
      </c>
      <c r="J253" t="inlineStr">
        <is>
          <t>India</t>
        </is>
      </c>
      <c r="K253" t="inlineStr">
        <is>
          <t>No</t>
        </is>
      </c>
      <c r="M253" t="inlineStr">
        <is>
          <t>To be Printed</t>
        </is>
      </c>
    </row>
    <row r="254">
      <c r="A254" t="n">
        <v>253</v>
      </c>
      <c r="B254" t="n">
        <v>15</v>
      </c>
      <c r="C254" t="inlineStr">
        <is>
          <t>Mechanical EOA</t>
        </is>
      </c>
      <c r="D254" t="inlineStr">
        <is>
          <t>15-H Spray Tips &amp; Guards</t>
        </is>
      </c>
      <c r="E254" s="24" t="inlineStr">
        <is>
          <t>Spray Tip - Graco LTX327 (0.027 in)</t>
        </is>
      </c>
      <c r="F254" t="inlineStr">
        <is>
          <t>3</t>
        </is>
      </c>
      <c r="G254" s="25" t="inlineStr">
        <is>
          <t>Consumable</t>
        </is>
      </c>
      <c r="H254" s="24" t="inlineStr">
        <is>
          <t>Nozzle wear item - replaced routinely</t>
        </is>
      </c>
      <c r="I254" t="inlineStr">
        <is>
          <t>Anand</t>
        </is>
      </c>
      <c r="J254" t="inlineStr">
        <is>
          <t>Buy in US</t>
        </is>
      </c>
      <c r="K254" t="inlineStr">
        <is>
          <t>No</t>
        </is>
      </c>
      <c r="M254" t="inlineStr">
        <is>
          <t>To be purchased</t>
        </is>
      </c>
    </row>
    <row r="255">
      <c r="A255" t="n">
        <v>254</v>
      </c>
      <c r="B255" t="n">
        <v>15</v>
      </c>
      <c r="C255" t="inlineStr">
        <is>
          <t>Mechanical EOA</t>
        </is>
      </c>
      <c r="D255" t="inlineStr">
        <is>
          <t>15-H Spray Tips &amp; Guards</t>
        </is>
      </c>
      <c r="E255" s="24" t="inlineStr">
        <is>
          <t>Tip Guard - Graco 246215</t>
        </is>
      </c>
      <c r="F255" t="inlineStr">
        <is>
          <t>3</t>
        </is>
      </c>
      <c r="G255" s="25" t="inlineStr">
        <is>
          <t>Consumable</t>
        </is>
      </c>
      <c r="H255" s="24" t="inlineStr">
        <is>
          <t>Nozzle wear item - replaced routinely</t>
        </is>
      </c>
      <c r="I255" t="inlineStr">
        <is>
          <t>Anand</t>
        </is>
      </c>
      <c r="J255" t="inlineStr">
        <is>
          <t>Buy in US</t>
        </is>
      </c>
      <c r="K255" t="inlineStr">
        <is>
          <t>No</t>
        </is>
      </c>
      <c r="M255" t="inlineStr">
        <is>
          <t>To be purchased</t>
        </is>
      </c>
    </row>
    <row r="256">
      <c r="A256" t="n">
        <v>255</v>
      </c>
      <c r="B256" t="n">
        <v>16</v>
      </c>
      <c r="C256" t="inlineStr">
        <is>
          <t>Mechanical parts</t>
        </is>
      </c>
      <c r="D256" t="inlineStr">
        <is>
          <t>16-A Bolts - M10</t>
        </is>
      </c>
      <c r="E256" s="24" t="inlineStr">
        <is>
          <t>Bolt - Socket Cap (SHCS), M10 x 25 mm</t>
        </is>
      </c>
      <c r="F256" t="inlineStr">
        <is>
          <t>10</t>
        </is>
      </c>
      <c r="G256" s="25" t="inlineStr">
        <is>
          <t>Consumable</t>
        </is>
      </c>
      <c r="H256" s="24" t="inlineStr">
        <is>
          <t>Bulk fastener - consumable-class stock</t>
        </is>
      </c>
      <c r="I256" t="inlineStr">
        <is>
          <t>Kaustubh</t>
        </is>
      </c>
      <c r="J256" t="inlineStr">
        <is>
          <t>India</t>
        </is>
      </c>
      <c r="K256" t="inlineStr">
        <is>
          <t>No</t>
        </is>
      </c>
      <c r="M256" t="inlineStr">
        <is>
          <t>In stock</t>
        </is>
      </c>
      <c r="N256" t="inlineStr">
        <is>
          <t>Mobile (travels with robot)</t>
        </is>
      </c>
    </row>
    <row r="257">
      <c r="A257" t="n">
        <v>256</v>
      </c>
      <c r="B257" t="n">
        <v>16</v>
      </c>
      <c r="C257" t="inlineStr">
        <is>
          <t>Mechanical parts</t>
        </is>
      </c>
      <c r="D257" t="inlineStr">
        <is>
          <t>16-A Bolts - M10</t>
        </is>
      </c>
      <c r="E257" s="24" t="inlineStr">
        <is>
          <t>Bolt - Socket Cap (SHCS), M10 x 30 mm</t>
        </is>
      </c>
      <c r="F257" t="inlineStr">
        <is>
          <t>10</t>
        </is>
      </c>
      <c r="G257" s="25" t="inlineStr">
        <is>
          <t>Consumable</t>
        </is>
      </c>
      <c r="H257" s="24" t="inlineStr">
        <is>
          <t>Bulk fastener - consumable-class stock</t>
        </is>
      </c>
      <c r="I257" t="inlineStr">
        <is>
          <t>Kaustubh</t>
        </is>
      </c>
      <c r="J257" t="inlineStr">
        <is>
          <t>India</t>
        </is>
      </c>
      <c r="K257" t="inlineStr">
        <is>
          <t>No</t>
        </is>
      </c>
      <c r="M257" t="inlineStr">
        <is>
          <t>In stock</t>
        </is>
      </c>
      <c r="N257" t="inlineStr">
        <is>
          <t>Mobile (travels with robot)</t>
        </is>
      </c>
    </row>
    <row r="258">
      <c r="A258" t="n">
        <v>257</v>
      </c>
      <c r="B258" t="n">
        <v>16</v>
      </c>
      <c r="C258" t="inlineStr">
        <is>
          <t>Mechanical parts</t>
        </is>
      </c>
      <c r="D258" t="inlineStr">
        <is>
          <t>16-A Bolts - M10</t>
        </is>
      </c>
      <c r="E258" s="24" t="inlineStr">
        <is>
          <t>Bolt - Socket Cap (SHCS), M10 x 35 mm</t>
        </is>
      </c>
      <c r="F258" t="inlineStr">
        <is>
          <t>10</t>
        </is>
      </c>
      <c r="G258" s="25" t="inlineStr">
        <is>
          <t>Consumable</t>
        </is>
      </c>
      <c r="H258" s="24" t="inlineStr">
        <is>
          <t>Bulk fastener - consumable-class stock</t>
        </is>
      </c>
      <c r="I258" t="inlineStr">
        <is>
          <t>Kaustubh</t>
        </is>
      </c>
      <c r="J258" t="inlineStr">
        <is>
          <t>India</t>
        </is>
      </c>
      <c r="K258" t="inlineStr">
        <is>
          <t>No</t>
        </is>
      </c>
      <c r="M258" t="inlineStr">
        <is>
          <t>In stock</t>
        </is>
      </c>
      <c r="N258" t="inlineStr">
        <is>
          <t>Mobile (travels with robot)</t>
        </is>
      </c>
    </row>
    <row r="259">
      <c r="A259" t="n">
        <v>258</v>
      </c>
      <c r="B259" t="n">
        <v>16</v>
      </c>
      <c r="C259" t="inlineStr">
        <is>
          <t>Mechanical parts</t>
        </is>
      </c>
      <c r="D259" t="inlineStr">
        <is>
          <t>16-A Bolts - M10</t>
        </is>
      </c>
      <c r="E259" s="24" t="inlineStr">
        <is>
          <t>Bolt - Socket Cap (SHCS), M10 x 40 mm</t>
        </is>
      </c>
      <c r="F259" t="inlineStr">
        <is>
          <t>10</t>
        </is>
      </c>
      <c r="G259" s="25" t="inlineStr">
        <is>
          <t>Consumable</t>
        </is>
      </c>
      <c r="H259" s="24" t="inlineStr">
        <is>
          <t>Bulk fastener - consumable-class stock</t>
        </is>
      </c>
      <c r="I259" t="inlineStr">
        <is>
          <t>Kaustubh</t>
        </is>
      </c>
      <c r="J259" t="inlineStr">
        <is>
          <t>India</t>
        </is>
      </c>
      <c r="K259" t="inlineStr">
        <is>
          <t>No</t>
        </is>
      </c>
      <c r="M259" t="inlineStr">
        <is>
          <t>In stock</t>
        </is>
      </c>
      <c r="N259" t="inlineStr">
        <is>
          <t>Mobile (travels with robot)</t>
        </is>
      </c>
    </row>
    <row r="260">
      <c r="A260" t="n">
        <v>259</v>
      </c>
      <c r="B260" t="n">
        <v>16</v>
      </c>
      <c r="C260" t="inlineStr">
        <is>
          <t>Mechanical parts</t>
        </is>
      </c>
      <c r="D260" t="inlineStr">
        <is>
          <t>16-A Bolts - M10</t>
        </is>
      </c>
      <c r="E260" s="24" t="inlineStr">
        <is>
          <t>Bolt - Socket Cap (SHCS), M10 x 50 mm</t>
        </is>
      </c>
      <c r="F260" t="inlineStr">
        <is>
          <t>10</t>
        </is>
      </c>
      <c r="G260" s="25" t="inlineStr">
        <is>
          <t>Consumable</t>
        </is>
      </c>
      <c r="H260" s="24" t="inlineStr">
        <is>
          <t>Bulk fastener - consumable-class stock</t>
        </is>
      </c>
      <c r="I260" t="inlineStr">
        <is>
          <t>Kaustubh</t>
        </is>
      </c>
      <c r="J260" t="inlineStr">
        <is>
          <t>India</t>
        </is>
      </c>
      <c r="K260" t="inlineStr">
        <is>
          <t>No</t>
        </is>
      </c>
      <c r="M260" t="inlineStr">
        <is>
          <t>In stock</t>
        </is>
      </c>
      <c r="N260" t="inlineStr">
        <is>
          <t>Mobile (travels with robot)</t>
        </is>
      </c>
    </row>
    <row r="261">
      <c r="A261" t="n">
        <v>260</v>
      </c>
      <c r="B261" t="n">
        <v>16</v>
      </c>
      <c r="C261" t="inlineStr">
        <is>
          <t>Mechanical parts</t>
        </is>
      </c>
      <c r="D261" t="inlineStr">
        <is>
          <t>16-A Bolts - M2</t>
        </is>
      </c>
      <c r="E261" s="24" t="inlineStr">
        <is>
          <t>Bolt - Socket Cap (SHCS), M2 x 6 mm</t>
        </is>
      </c>
      <c r="F261" t="inlineStr">
        <is>
          <t>10</t>
        </is>
      </c>
      <c r="G261" s="25" t="inlineStr">
        <is>
          <t>Consumable</t>
        </is>
      </c>
      <c r="H261" s="24" t="inlineStr">
        <is>
          <t>Bulk fastener - consumable-class stock</t>
        </is>
      </c>
      <c r="I261" t="inlineStr">
        <is>
          <t>Kaustubh</t>
        </is>
      </c>
      <c r="J261" t="inlineStr">
        <is>
          <t>India</t>
        </is>
      </c>
      <c r="K261" t="inlineStr">
        <is>
          <t>No</t>
        </is>
      </c>
      <c r="M261" t="inlineStr">
        <is>
          <t>In stock</t>
        </is>
      </c>
      <c r="N261" t="inlineStr">
        <is>
          <t>Mobile (travels with robot)</t>
        </is>
      </c>
    </row>
    <row r="262">
      <c r="A262" t="n">
        <v>261</v>
      </c>
      <c r="B262" t="n">
        <v>16</v>
      </c>
      <c r="C262" t="inlineStr">
        <is>
          <t>Mechanical parts</t>
        </is>
      </c>
      <c r="D262" t="inlineStr">
        <is>
          <t>16-A Bolts - M2</t>
        </is>
      </c>
      <c r="E262" s="24" t="inlineStr">
        <is>
          <t>Bolt - Socket Cap (SHCS), M2 x 8 mm</t>
        </is>
      </c>
      <c r="F262" t="inlineStr">
        <is>
          <t>10</t>
        </is>
      </c>
      <c r="G262" s="25" t="inlineStr">
        <is>
          <t>Consumable</t>
        </is>
      </c>
      <c r="H262" s="24" t="inlineStr">
        <is>
          <t>Bulk fastener - consumable-class stock</t>
        </is>
      </c>
      <c r="I262" t="inlineStr">
        <is>
          <t>Kaustubh</t>
        </is>
      </c>
      <c r="J262" t="inlineStr">
        <is>
          <t>India</t>
        </is>
      </c>
      <c r="K262" t="inlineStr">
        <is>
          <t>No</t>
        </is>
      </c>
      <c r="M262" t="inlineStr">
        <is>
          <t>In stock</t>
        </is>
      </c>
      <c r="N262" t="inlineStr">
        <is>
          <t>Mobile (travels with robot)</t>
        </is>
      </c>
    </row>
    <row r="263">
      <c r="A263" t="n">
        <v>262</v>
      </c>
      <c r="B263" t="n">
        <v>16</v>
      </c>
      <c r="C263" t="inlineStr">
        <is>
          <t>Mechanical parts</t>
        </is>
      </c>
      <c r="D263" t="inlineStr">
        <is>
          <t>16-A Bolts - M2</t>
        </is>
      </c>
      <c r="E263" s="24" t="inlineStr">
        <is>
          <t>Bolt - Socket Cap (SHCS), M2 x 10 mm</t>
        </is>
      </c>
      <c r="F263" t="inlineStr">
        <is>
          <t>10</t>
        </is>
      </c>
      <c r="G263" s="25" t="inlineStr">
        <is>
          <t>Consumable</t>
        </is>
      </c>
      <c r="H263" s="24" t="inlineStr">
        <is>
          <t>Bulk fastener - consumable-class stock</t>
        </is>
      </c>
      <c r="I263" t="inlineStr">
        <is>
          <t>Kaustubh</t>
        </is>
      </c>
      <c r="J263" t="inlineStr">
        <is>
          <t>India</t>
        </is>
      </c>
      <c r="K263" t="inlineStr">
        <is>
          <t>No</t>
        </is>
      </c>
      <c r="M263" t="inlineStr">
        <is>
          <t>In stock</t>
        </is>
      </c>
      <c r="N263" t="inlineStr">
        <is>
          <t>Mobile (travels with robot)</t>
        </is>
      </c>
    </row>
    <row r="264">
      <c r="A264" t="n">
        <v>263</v>
      </c>
      <c r="B264" t="n">
        <v>16</v>
      </c>
      <c r="C264" t="inlineStr">
        <is>
          <t>Mechanical parts</t>
        </is>
      </c>
      <c r="D264" t="inlineStr">
        <is>
          <t>16-A Bolts - M2</t>
        </is>
      </c>
      <c r="E264" s="24" t="inlineStr">
        <is>
          <t>Bolt - Socket Cap (SHCS), M2 x 12 mm</t>
        </is>
      </c>
      <c r="F264" t="inlineStr">
        <is>
          <t>10</t>
        </is>
      </c>
      <c r="G264" s="25" t="inlineStr">
        <is>
          <t>Consumable</t>
        </is>
      </c>
      <c r="H264" s="24" t="inlineStr">
        <is>
          <t>Bulk fastener - consumable-class stock</t>
        </is>
      </c>
      <c r="I264" t="inlineStr">
        <is>
          <t>Kaustubh</t>
        </is>
      </c>
      <c r="J264" t="inlineStr">
        <is>
          <t>India</t>
        </is>
      </c>
      <c r="K264" t="inlineStr">
        <is>
          <t>No</t>
        </is>
      </c>
      <c r="M264" t="inlineStr">
        <is>
          <t>In stock</t>
        </is>
      </c>
      <c r="N264" t="inlineStr">
        <is>
          <t>Mobile (travels with robot)</t>
        </is>
      </c>
    </row>
    <row r="265">
      <c r="A265" t="n">
        <v>264</v>
      </c>
      <c r="B265" t="n">
        <v>16</v>
      </c>
      <c r="C265" t="inlineStr">
        <is>
          <t>Mechanical parts</t>
        </is>
      </c>
      <c r="D265" t="inlineStr">
        <is>
          <t>16-A Bolts - M2</t>
        </is>
      </c>
      <c r="E265" s="24" t="inlineStr">
        <is>
          <t>Bolt - Socket Cap (SHCS), M2 x 16 mm</t>
        </is>
      </c>
      <c r="F265" t="inlineStr">
        <is>
          <t>20</t>
        </is>
      </c>
      <c r="G265" s="25" t="inlineStr">
        <is>
          <t>Consumable</t>
        </is>
      </c>
      <c r="H265" s="24" t="inlineStr">
        <is>
          <t>Bulk fastener - consumable-class stock</t>
        </is>
      </c>
      <c r="I265" t="inlineStr">
        <is>
          <t>Kaustubh</t>
        </is>
      </c>
      <c r="J265" t="inlineStr">
        <is>
          <t>India</t>
        </is>
      </c>
      <c r="K265" t="inlineStr">
        <is>
          <t>No</t>
        </is>
      </c>
      <c r="M265" t="inlineStr">
        <is>
          <t>In stock</t>
        </is>
      </c>
      <c r="N265" t="inlineStr">
        <is>
          <t>Mobile (travels with robot)</t>
        </is>
      </c>
    </row>
    <row r="266">
      <c r="A266" t="n">
        <v>265</v>
      </c>
      <c r="B266" t="n">
        <v>16</v>
      </c>
      <c r="C266" t="inlineStr">
        <is>
          <t>Mechanical parts</t>
        </is>
      </c>
      <c r="D266" t="inlineStr">
        <is>
          <t>16-A Bolts - M2</t>
        </is>
      </c>
      <c r="E266" s="24" t="inlineStr">
        <is>
          <t>Bolt - Socket Cap (SHCS), M2 x 20 mm</t>
        </is>
      </c>
      <c r="F266" t="inlineStr">
        <is>
          <t>10</t>
        </is>
      </c>
      <c r="G266" s="25" t="inlineStr">
        <is>
          <t>Consumable</t>
        </is>
      </c>
      <c r="H266" s="24" t="inlineStr">
        <is>
          <t>Bulk fastener - consumable-class stock</t>
        </is>
      </c>
      <c r="I266" t="inlineStr">
        <is>
          <t>Kaustubh</t>
        </is>
      </c>
      <c r="J266" t="inlineStr">
        <is>
          <t>India</t>
        </is>
      </c>
      <c r="K266" t="inlineStr">
        <is>
          <t>No</t>
        </is>
      </c>
      <c r="M266" t="inlineStr">
        <is>
          <t>In stock</t>
        </is>
      </c>
      <c r="N266" t="inlineStr">
        <is>
          <t>Mobile (travels with robot)</t>
        </is>
      </c>
    </row>
    <row r="267">
      <c r="A267" t="n">
        <v>266</v>
      </c>
      <c r="B267" t="n">
        <v>16</v>
      </c>
      <c r="C267" t="inlineStr">
        <is>
          <t>Mechanical parts</t>
        </is>
      </c>
      <c r="D267" t="inlineStr">
        <is>
          <t>16-A Bolts - M3</t>
        </is>
      </c>
      <c r="E267" s="24" t="inlineStr">
        <is>
          <t>Bolt - Socket Cap (SHCS), M3 x 6 mm</t>
        </is>
      </c>
      <c r="F267" t="inlineStr">
        <is>
          <t>10</t>
        </is>
      </c>
      <c r="G267" s="25" t="inlineStr">
        <is>
          <t>Consumable</t>
        </is>
      </c>
      <c r="H267" s="24" t="inlineStr">
        <is>
          <t>Bulk fastener - consumable-class stock</t>
        </is>
      </c>
      <c r="I267" t="inlineStr">
        <is>
          <t>Kaustubh</t>
        </is>
      </c>
      <c r="J267" t="inlineStr">
        <is>
          <t>India</t>
        </is>
      </c>
      <c r="K267" t="inlineStr">
        <is>
          <t>No</t>
        </is>
      </c>
      <c r="M267" t="inlineStr">
        <is>
          <t>In stock</t>
        </is>
      </c>
      <c r="N267" t="inlineStr">
        <is>
          <t>Mobile (travels with robot)</t>
        </is>
      </c>
    </row>
    <row r="268">
      <c r="A268" t="n">
        <v>267</v>
      </c>
      <c r="B268" t="n">
        <v>16</v>
      </c>
      <c r="C268" t="inlineStr">
        <is>
          <t>Mechanical parts</t>
        </is>
      </c>
      <c r="D268" t="inlineStr">
        <is>
          <t>16-A Bolts - M3</t>
        </is>
      </c>
      <c r="E268" s="24" t="inlineStr">
        <is>
          <t>Bolt - Socket Cap (SHCS), M3 x 8 mm</t>
        </is>
      </c>
      <c r="F268" t="inlineStr">
        <is>
          <t>10</t>
        </is>
      </c>
      <c r="G268" s="25" t="inlineStr">
        <is>
          <t>Consumable</t>
        </is>
      </c>
      <c r="H268" s="24" t="inlineStr">
        <is>
          <t>Bulk fastener - consumable-class stock</t>
        </is>
      </c>
      <c r="I268" t="inlineStr">
        <is>
          <t>Kaustubh</t>
        </is>
      </c>
      <c r="J268" t="inlineStr">
        <is>
          <t>India</t>
        </is>
      </c>
      <c r="K268" t="inlineStr">
        <is>
          <t>No</t>
        </is>
      </c>
      <c r="M268" t="inlineStr">
        <is>
          <t>In stock</t>
        </is>
      </c>
      <c r="N268" t="inlineStr">
        <is>
          <t>Mobile (travels with robot)</t>
        </is>
      </c>
    </row>
    <row r="269">
      <c r="A269" t="n">
        <v>268</v>
      </c>
      <c r="B269" t="n">
        <v>16</v>
      </c>
      <c r="C269" t="inlineStr">
        <is>
          <t>Mechanical parts</t>
        </is>
      </c>
      <c r="D269" t="inlineStr">
        <is>
          <t>16-A Bolts - M3</t>
        </is>
      </c>
      <c r="E269" s="24" t="inlineStr">
        <is>
          <t>Bolt - Socket Cap (SHCS), M3 x 10 mm</t>
        </is>
      </c>
      <c r="F269" t="inlineStr">
        <is>
          <t>10</t>
        </is>
      </c>
      <c r="G269" s="25" t="inlineStr">
        <is>
          <t>Consumable</t>
        </is>
      </c>
      <c r="H269" s="24" t="inlineStr">
        <is>
          <t>Bulk fastener - consumable-class stock</t>
        </is>
      </c>
      <c r="I269" t="inlineStr">
        <is>
          <t>Kaustubh</t>
        </is>
      </c>
      <c r="J269" t="inlineStr">
        <is>
          <t>India</t>
        </is>
      </c>
      <c r="K269" t="inlineStr">
        <is>
          <t>No</t>
        </is>
      </c>
      <c r="M269" t="inlineStr">
        <is>
          <t>In stock</t>
        </is>
      </c>
      <c r="N269" t="inlineStr">
        <is>
          <t>Mobile (travels with robot)</t>
        </is>
      </c>
    </row>
    <row r="270">
      <c r="A270" t="n">
        <v>269</v>
      </c>
      <c r="B270" t="n">
        <v>16</v>
      </c>
      <c r="C270" t="inlineStr">
        <is>
          <t>Mechanical parts</t>
        </is>
      </c>
      <c r="D270" t="inlineStr">
        <is>
          <t>16-A Bolts - M3</t>
        </is>
      </c>
      <c r="E270" s="24" t="inlineStr">
        <is>
          <t>Bolt - Socket Cap (SHCS), M3 x 12 mm</t>
        </is>
      </c>
      <c r="F270" t="inlineStr">
        <is>
          <t>10</t>
        </is>
      </c>
      <c r="G270" s="25" t="inlineStr">
        <is>
          <t>Consumable</t>
        </is>
      </c>
      <c r="H270" s="24" t="inlineStr">
        <is>
          <t>Bulk fastener - consumable-class stock</t>
        </is>
      </c>
      <c r="I270" t="inlineStr">
        <is>
          <t>Kaustubh</t>
        </is>
      </c>
      <c r="J270" t="inlineStr">
        <is>
          <t>India</t>
        </is>
      </c>
      <c r="K270" t="inlineStr">
        <is>
          <t>No</t>
        </is>
      </c>
      <c r="M270" t="inlineStr">
        <is>
          <t>In stock</t>
        </is>
      </c>
      <c r="N270" t="inlineStr">
        <is>
          <t>Mobile (travels with robot)</t>
        </is>
      </c>
    </row>
    <row r="271">
      <c r="A271" t="n">
        <v>270</v>
      </c>
      <c r="B271" t="n">
        <v>16</v>
      </c>
      <c r="C271" t="inlineStr">
        <is>
          <t>Mechanical parts</t>
        </is>
      </c>
      <c r="D271" t="inlineStr">
        <is>
          <t>16-A Bolts - M3</t>
        </is>
      </c>
      <c r="E271" s="24" t="inlineStr">
        <is>
          <t>Bolt - Socket Cap (SHCS), M3 x 16 mm</t>
        </is>
      </c>
      <c r="F271" t="inlineStr">
        <is>
          <t>20</t>
        </is>
      </c>
      <c r="G271" s="25" t="inlineStr">
        <is>
          <t>Consumable</t>
        </is>
      </c>
      <c r="H271" s="24" t="inlineStr">
        <is>
          <t>Bulk fastener - consumable-class stock</t>
        </is>
      </c>
      <c r="I271" t="inlineStr">
        <is>
          <t>Kaustubh</t>
        </is>
      </c>
      <c r="J271" t="inlineStr">
        <is>
          <t>India</t>
        </is>
      </c>
      <c r="K271" t="inlineStr">
        <is>
          <t>No</t>
        </is>
      </c>
      <c r="M271" t="inlineStr">
        <is>
          <t>In stock</t>
        </is>
      </c>
      <c r="N271" t="inlineStr">
        <is>
          <t>Mobile (travels with robot)</t>
        </is>
      </c>
    </row>
    <row r="272">
      <c r="A272" t="n">
        <v>271</v>
      </c>
      <c r="B272" t="n">
        <v>16</v>
      </c>
      <c r="C272" t="inlineStr">
        <is>
          <t>Mechanical parts</t>
        </is>
      </c>
      <c r="D272" t="inlineStr">
        <is>
          <t>16-A Bolts - M3</t>
        </is>
      </c>
      <c r="E272" s="24" t="inlineStr">
        <is>
          <t>Bolt - Socket Cap (SHCS), M3 x 20 mm</t>
        </is>
      </c>
      <c r="F272" t="inlineStr">
        <is>
          <t>10</t>
        </is>
      </c>
      <c r="G272" s="25" t="inlineStr">
        <is>
          <t>Consumable</t>
        </is>
      </c>
      <c r="H272" s="24" t="inlineStr">
        <is>
          <t>Bulk fastener - consumable-class stock</t>
        </is>
      </c>
      <c r="I272" t="inlineStr">
        <is>
          <t>Kaustubh</t>
        </is>
      </c>
      <c r="J272" t="inlineStr">
        <is>
          <t>India</t>
        </is>
      </c>
      <c r="K272" t="inlineStr">
        <is>
          <t>No</t>
        </is>
      </c>
      <c r="M272" t="inlineStr">
        <is>
          <t>In stock</t>
        </is>
      </c>
      <c r="N272" t="inlineStr">
        <is>
          <t>Mobile (travels with robot)</t>
        </is>
      </c>
    </row>
    <row r="273">
      <c r="A273" t="n">
        <v>272</v>
      </c>
      <c r="B273" t="n">
        <v>16</v>
      </c>
      <c r="C273" t="inlineStr">
        <is>
          <t>Mechanical parts</t>
        </is>
      </c>
      <c r="D273" t="inlineStr">
        <is>
          <t>16-A Bolts - M3</t>
        </is>
      </c>
      <c r="E273" s="24" t="inlineStr">
        <is>
          <t>Bolt - Socket Cap (SHCS), M3 x 25 mm</t>
        </is>
      </c>
      <c r="F273" t="inlineStr">
        <is>
          <t>10</t>
        </is>
      </c>
      <c r="G273" s="25" t="inlineStr">
        <is>
          <t>Consumable</t>
        </is>
      </c>
      <c r="H273" s="24" t="inlineStr">
        <is>
          <t>Bulk fastener - consumable-class stock</t>
        </is>
      </c>
      <c r="I273" t="inlineStr">
        <is>
          <t>Kaustubh</t>
        </is>
      </c>
      <c r="J273" t="inlineStr">
        <is>
          <t>India</t>
        </is>
      </c>
      <c r="K273" t="inlineStr">
        <is>
          <t>No</t>
        </is>
      </c>
      <c r="M273" t="inlineStr">
        <is>
          <t>In stock</t>
        </is>
      </c>
      <c r="N273" t="inlineStr">
        <is>
          <t>Mobile (travels with robot)</t>
        </is>
      </c>
    </row>
    <row r="274">
      <c r="A274" t="n">
        <v>273</v>
      </c>
      <c r="B274" t="n">
        <v>16</v>
      </c>
      <c r="C274" t="inlineStr">
        <is>
          <t>Mechanical parts</t>
        </is>
      </c>
      <c r="D274" t="inlineStr">
        <is>
          <t>16-A Bolts - M3</t>
        </is>
      </c>
      <c r="E274" s="24" t="inlineStr">
        <is>
          <t>Bolt - Socket Cap (SHCS), M3 x 30 mm</t>
        </is>
      </c>
      <c r="F274" t="inlineStr">
        <is>
          <t>10</t>
        </is>
      </c>
      <c r="G274" s="25" t="inlineStr">
        <is>
          <t>Consumable</t>
        </is>
      </c>
      <c r="H274" s="24" t="inlineStr">
        <is>
          <t>Bulk fastener - consumable-class stock</t>
        </is>
      </c>
      <c r="I274" t="inlineStr">
        <is>
          <t>Kaustubh</t>
        </is>
      </c>
      <c r="J274" t="inlineStr">
        <is>
          <t>India</t>
        </is>
      </c>
      <c r="K274" t="inlineStr">
        <is>
          <t>No</t>
        </is>
      </c>
      <c r="M274" t="inlineStr">
        <is>
          <t>In stock</t>
        </is>
      </c>
      <c r="N274" t="inlineStr">
        <is>
          <t>Mobile (travels with robot)</t>
        </is>
      </c>
    </row>
    <row r="275">
      <c r="A275" t="n">
        <v>274</v>
      </c>
      <c r="B275" t="n">
        <v>16</v>
      </c>
      <c r="C275" t="inlineStr">
        <is>
          <t>Mechanical parts</t>
        </is>
      </c>
      <c r="D275" t="inlineStr">
        <is>
          <t>16-A Bolts - M3</t>
        </is>
      </c>
      <c r="E275" s="24" t="inlineStr">
        <is>
          <t>Bolt - Socket Cap (SHCS), M3 x 40 mm</t>
        </is>
      </c>
      <c r="F275" t="inlineStr">
        <is>
          <t>10</t>
        </is>
      </c>
      <c r="G275" s="25" t="inlineStr">
        <is>
          <t>Consumable</t>
        </is>
      </c>
      <c r="H275" s="24" t="inlineStr">
        <is>
          <t>Bulk fastener - consumable-class stock</t>
        </is>
      </c>
      <c r="I275" t="inlineStr">
        <is>
          <t>Kaustubh</t>
        </is>
      </c>
      <c r="J275" t="inlineStr">
        <is>
          <t>India</t>
        </is>
      </c>
      <c r="K275" t="inlineStr">
        <is>
          <t>No</t>
        </is>
      </c>
      <c r="M275" t="inlineStr">
        <is>
          <t>In stock</t>
        </is>
      </c>
      <c r="N275" t="inlineStr">
        <is>
          <t>Mobile (travels with robot)</t>
        </is>
      </c>
    </row>
    <row r="276">
      <c r="A276" t="n">
        <v>275</v>
      </c>
      <c r="B276" t="n">
        <v>16</v>
      </c>
      <c r="C276" t="inlineStr">
        <is>
          <t>Mechanical parts</t>
        </is>
      </c>
      <c r="D276" t="inlineStr">
        <is>
          <t>16-A Bolts - M3</t>
        </is>
      </c>
      <c r="E276" s="24" t="inlineStr">
        <is>
          <t>Bolt - Countersunk (CSK), M3 x 12 mm</t>
        </is>
      </c>
      <c r="F276" t="inlineStr">
        <is>
          <t>30</t>
        </is>
      </c>
      <c r="G276" s="25" t="inlineStr">
        <is>
          <t>Consumable</t>
        </is>
      </c>
      <c r="H276" s="24" t="inlineStr">
        <is>
          <t>Bulk fastener - consumable-class stock</t>
        </is>
      </c>
      <c r="I276" t="inlineStr">
        <is>
          <t>Kaustubh</t>
        </is>
      </c>
      <c r="J276" t="inlineStr">
        <is>
          <t>India</t>
        </is>
      </c>
      <c r="K276" t="inlineStr">
        <is>
          <t>No</t>
        </is>
      </c>
      <c r="M276" t="inlineStr">
        <is>
          <t>In stock</t>
        </is>
      </c>
      <c r="N276" t="inlineStr">
        <is>
          <t>Mobile (travels with robot)</t>
        </is>
      </c>
    </row>
    <row r="277">
      <c r="A277" t="n">
        <v>276</v>
      </c>
      <c r="B277" t="n">
        <v>16</v>
      </c>
      <c r="C277" t="inlineStr">
        <is>
          <t>Mechanical parts</t>
        </is>
      </c>
      <c r="D277" t="inlineStr">
        <is>
          <t>16-A Bolts - M3</t>
        </is>
      </c>
      <c r="E277" s="24" t="inlineStr">
        <is>
          <t>Bolt - Countersunk (CSK), M3 x 16 mm</t>
        </is>
      </c>
      <c r="F277" t="inlineStr">
        <is>
          <t>30</t>
        </is>
      </c>
      <c r="G277" s="25" t="inlineStr">
        <is>
          <t>Consumable</t>
        </is>
      </c>
      <c r="H277" s="24" t="inlineStr">
        <is>
          <t>Bulk fastener - consumable-class stock</t>
        </is>
      </c>
      <c r="I277" t="inlineStr">
        <is>
          <t>Kaustubh</t>
        </is>
      </c>
      <c r="J277" t="inlineStr">
        <is>
          <t>India</t>
        </is>
      </c>
      <c r="K277" t="inlineStr">
        <is>
          <t>No</t>
        </is>
      </c>
      <c r="M277" t="inlineStr">
        <is>
          <t>In stock</t>
        </is>
      </c>
      <c r="N277" t="inlineStr">
        <is>
          <t>Mobile (travels with robot)</t>
        </is>
      </c>
    </row>
    <row r="278">
      <c r="A278" t="n">
        <v>277</v>
      </c>
      <c r="B278" t="n">
        <v>16</v>
      </c>
      <c r="C278" t="inlineStr">
        <is>
          <t>Mechanical parts</t>
        </is>
      </c>
      <c r="D278" t="inlineStr">
        <is>
          <t>16-A Bolts - M4</t>
        </is>
      </c>
      <c r="E278" s="24" t="inlineStr">
        <is>
          <t>Bolt - Socket Cap (SHCS), M4 x 6 mm</t>
        </is>
      </c>
      <c r="F278" t="inlineStr">
        <is>
          <t>10</t>
        </is>
      </c>
      <c r="G278" s="25" t="inlineStr">
        <is>
          <t>Consumable</t>
        </is>
      </c>
      <c r="H278" s="24" t="inlineStr">
        <is>
          <t>Bulk fastener - consumable-class stock</t>
        </is>
      </c>
      <c r="I278" t="inlineStr">
        <is>
          <t>Kaustubh</t>
        </is>
      </c>
      <c r="J278" t="inlineStr">
        <is>
          <t>India</t>
        </is>
      </c>
      <c r="K278" t="inlineStr">
        <is>
          <t>No</t>
        </is>
      </c>
      <c r="M278" t="inlineStr">
        <is>
          <t>In stock</t>
        </is>
      </c>
      <c r="N278" t="inlineStr">
        <is>
          <t>Mobile (travels with robot)</t>
        </is>
      </c>
    </row>
    <row r="279">
      <c r="A279" t="n">
        <v>278</v>
      </c>
      <c r="B279" t="n">
        <v>16</v>
      </c>
      <c r="C279" t="inlineStr">
        <is>
          <t>Mechanical parts</t>
        </is>
      </c>
      <c r="D279" t="inlineStr">
        <is>
          <t>16-A Bolts - M4</t>
        </is>
      </c>
      <c r="E279" s="24" t="inlineStr">
        <is>
          <t>Bolt - Socket Cap (SHCS), M4 x 8 mm</t>
        </is>
      </c>
      <c r="F279" t="inlineStr">
        <is>
          <t>10</t>
        </is>
      </c>
      <c r="G279" s="25" t="inlineStr">
        <is>
          <t>Consumable</t>
        </is>
      </c>
      <c r="H279" s="24" t="inlineStr">
        <is>
          <t>Bulk fastener - consumable-class stock</t>
        </is>
      </c>
      <c r="I279" t="inlineStr">
        <is>
          <t>Kaustubh</t>
        </is>
      </c>
      <c r="J279" t="inlineStr">
        <is>
          <t>India</t>
        </is>
      </c>
      <c r="K279" t="inlineStr">
        <is>
          <t>No</t>
        </is>
      </c>
      <c r="M279" t="inlineStr">
        <is>
          <t>In stock</t>
        </is>
      </c>
      <c r="N279" t="inlineStr">
        <is>
          <t>Mobile (travels with robot)</t>
        </is>
      </c>
    </row>
    <row r="280">
      <c r="A280" t="n">
        <v>279</v>
      </c>
      <c r="B280" t="n">
        <v>16</v>
      </c>
      <c r="C280" t="inlineStr">
        <is>
          <t>Mechanical parts</t>
        </is>
      </c>
      <c r="D280" t="inlineStr">
        <is>
          <t>16-A Bolts - M4</t>
        </is>
      </c>
      <c r="E280" s="24" t="inlineStr">
        <is>
          <t>Bolt - Socket Cap (SHCS), M4 x 10 mm</t>
        </is>
      </c>
      <c r="F280" t="inlineStr">
        <is>
          <t>10</t>
        </is>
      </c>
      <c r="G280" s="25" t="inlineStr">
        <is>
          <t>Consumable</t>
        </is>
      </c>
      <c r="H280" s="24" t="inlineStr">
        <is>
          <t>Bulk fastener - consumable-class stock</t>
        </is>
      </c>
      <c r="I280" t="inlineStr">
        <is>
          <t>Kaustubh</t>
        </is>
      </c>
      <c r="J280" t="inlineStr">
        <is>
          <t>India</t>
        </is>
      </c>
      <c r="K280" t="inlineStr">
        <is>
          <t>No</t>
        </is>
      </c>
      <c r="M280" t="inlineStr">
        <is>
          <t>In stock</t>
        </is>
      </c>
      <c r="N280" t="inlineStr">
        <is>
          <t>Mobile (travels with robot)</t>
        </is>
      </c>
    </row>
    <row r="281">
      <c r="A281" t="n">
        <v>280</v>
      </c>
      <c r="B281" t="n">
        <v>16</v>
      </c>
      <c r="C281" t="inlineStr">
        <is>
          <t>Mechanical parts</t>
        </is>
      </c>
      <c r="D281" t="inlineStr">
        <is>
          <t>16-A Bolts - M4</t>
        </is>
      </c>
      <c r="E281" s="24" t="inlineStr">
        <is>
          <t>Bolt - Socket Cap (SHCS), M4 x 12 mm</t>
        </is>
      </c>
      <c r="F281" t="inlineStr">
        <is>
          <t>10</t>
        </is>
      </c>
      <c r="G281" s="25" t="inlineStr">
        <is>
          <t>Consumable</t>
        </is>
      </c>
      <c r="H281" s="24" t="inlineStr">
        <is>
          <t>Bulk fastener - consumable-class stock</t>
        </is>
      </c>
      <c r="I281" t="inlineStr">
        <is>
          <t>Kaustubh</t>
        </is>
      </c>
      <c r="J281" t="inlineStr">
        <is>
          <t>India</t>
        </is>
      </c>
      <c r="K281" t="inlineStr">
        <is>
          <t>No</t>
        </is>
      </c>
      <c r="M281" t="inlineStr">
        <is>
          <t>In stock</t>
        </is>
      </c>
      <c r="N281" t="inlineStr">
        <is>
          <t>Mobile (travels with robot)</t>
        </is>
      </c>
    </row>
    <row r="282">
      <c r="A282" t="n">
        <v>281</v>
      </c>
      <c r="B282" t="n">
        <v>16</v>
      </c>
      <c r="C282" t="inlineStr">
        <is>
          <t>Mechanical parts</t>
        </is>
      </c>
      <c r="D282" t="inlineStr">
        <is>
          <t>16-A Bolts - M4</t>
        </is>
      </c>
      <c r="E282" s="24" t="inlineStr">
        <is>
          <t>Bolt - Socket Cap (SHCS), M4 x 16 mm</t>
        </is>
      </c>
      <c r="F282" t="inlineStr">
        <is>
          <t>20</t>
        </is>
      </c>
      <c r="G282" s="25" t="inlineStr">
        <is>
          <t>Consumable</t>
        </is>
      </c>
      <c r="H282" s="24" t="inlineStr">
        <is>
          <t>Bulk fastener - consumable-class stock</t>
        </is>
      </c>
      <c r="I282" t="inlineStr">
        <is>
          <t>Kaustubh</t>
        </is>
      </c>
      <c r="J282" t="inlineStr">
        <is>
          <t>India</t>
        </is>
      </c>
      <c r="K282" t="inlineStr">
        <is>
          <t>No</t>
        </is>
      </c>
      <c r="M282" t="inlineStr">
        <is>
          <t>In stock</t>
        </is>
      </c>
      <c r="N282" t="inlineStr">
        <is>
          <t>Mobile (travels with robot)</t>
        </is>
      </c>
    </row>
    <row r="283">
      <c r="A283" t="n">
        <v>282</v>
      </c>
      <c r="B283" t="n">
        <v>16</v>
      </c>
      <c r="C283" t="inlineStr">
        <is>
          <t>Mechanical parts</t>
        </is>
      </c>
      <c r="D283" t="inlineStr">
        <is>
          <t>16-A Bolts - M4</t>
        </is>
      </c>
      <c r="E283" s="24" t="inlineStr">
        <is>
          <t>Bolt - Socket Cap (SHCS), M4 x 20 mm</t>
        </is>
      </c>
      <c r="F283" t="inlineStr">
        <is>
          <t>10</t>
        </is>
      </c>
      <c r="G283" s="25" t="inlineStr">
        <is>
          <t>Consumable</t>
        </is>
      </c>
      <c r="H283" s="24" t="inlineStr">
        <is>
          <t>Bulk fastener - consumable-class stock</t>
        </is>
      </c>
      <c r="I283" t="inlineStr">
        <is>
          <t>Kaustubh</t>
        </is>
      </c>
      <c r="J283" t="inlineStr">
        <is>
          <t>India</t>
        </is>
      </c>
      <c r="K283" t="inlineStr">
        <is>
          <t>No</t>
        </is>
      </c>
      <c r="M283" t="inlineStr">
        <is>
          <t>In stock</t>
        </is>
      </c>
      <c r="N283" t="inlineStr">
        <is>
          <t>Mobile (travels with robot)</t>
        </is>
      </c>
    </row>
    <row r="284">
      <c r="A284" t="n">
        <v>283</v>
      </c>
      <c r="B284" t="n">
        <v>16</v>
      </c>
      <c r="C284" t="inlineStr">
        <is>
          <t>Mechanical parts</t>
        </is>
      </c>
      <c r="D284" t="inlineStr">
        <is>
          <t>16-A Bolts - M4</t>
        </is>
      </c>
      <c r="E284" s="24" t="inlineStr">
        <is>
          <t>Bolt - Socket Cap (SHCS), M4 x 25 mm</t>
        </is>
      </c>
      <c r="F284" t="inlineStr">
        <is>
          <t>10</t>
        </is>
      </c>
      <c r="G284" s="25" t="inlineStr">
        <is>
          <t>Consumable</t>
        </is>
      </c>
      <c r="H284" s="24" t="inlineStr">
        <is>
          <t>Bulk fastener - consumable-class stock</t>
        </is>
      </c>
      <c r="I284" t="inlineStr">
        <is>
          <t>Kaustubh</t>
        </is>
      </c>
      <c r="J284" t="inlineStr">
        <is>
          <t>India</t>
        </is>
      </c>
      <c r="K284" t="inlineStr">
        <is>
          <t>No</t>
        </is>
      </c>
      <c r="M284" t="inlineStr">
        <is>
          <t>In stock</t>
        </is>
      </c>
      <c r="N284" t="inlineStr">
        <is>
          <t>Mobile (travels with robot)</t>
        </is>
      </c>
    </row>
    <row r="285">
      <c r="A285" t="n">
        <v>284</v>
      </c>
      <c r="B285" t="n">
        <v>16</v>
      </c>
      <c r="C285" t="inlineStr">
        <is>
          <t>Mechanical parts</t>
        </is>
      </c>
      <c r="D285" t="inlineStr">
        <is>
          <t>16-A Bolts - M4</t>
        </is>
      </c>
      <c r="E285" s="24" t="inlineStr">
        <is>
          <t>Bolt - Socket Cap (SHCS), M4 x 30 mm</t>
        </is>
      </c>
      <c r="F285" t="inlineStr">
        <is>
          <t>10</t>
        </is>
      </c>
      <c r="G285" s="25" t="inlineStr">
        <is>
          <t>Consumable</t>
        </is>
      </c>
      <c r="H285" s="24" t="inlineStr">
        <is>
          <t>Bulk fastener - consumable-class stock</t>
        </is>
      </c>
      <c r="I285" t="inlineStr">
        <is>
          <t>Kaustubh</t>
        </is>
      </c>
      <c r="J285" t="inlineStr">
        <is>
          <t>India</t>
        </is>
      </c>
      <c r="K285" t="inlineStr">
        <is>
          <t>No</t>
        </is>
      </c>
      <c r="M285" t="inlineStr">
        <is>
          <t>In stock</t>
        </is>
      </c>
      <c r="N285" t="inlineStr">
        <is>
          <t>Mobile (travels with robot)</t>
        </is>
      </c>
    </row>
    <row r="286">
      <c r="A286" t="n">
        <v>285</v>
      </c>
      <c r="B286" t="n">
        <v>16</v>
      </c>
      <c r="C286" t="inlineStr">
        <is>
          <t>Mechanical parts</t>
        </is>
      </c>
      <c r="D286" t="inlineStr">
        <is>
          <t>16-A Bolts - M4</t>
        </is>
      </c>
      <c r="E286" s="24" t="inlineStr">
        <is>
          <t>Bolt - Socket Cap (SHCS), M4 x 35 mm</t>
        </is>
      </c>
      <c r="F286" t="inlineStr">
        <is>
          <t>10</t>
        </is>
      </c>
      <c r="G286" s="25" t="inlineStr">
        <is>
          <t>Consumable</t>
        </is>
      </c>
      <c r="H286" s="24" t="inlineStr">
        <is>
          <t>Bulk fastener - consumable-class stock</t>
        </is>
      </c>
      <c r="I286" t="inlineStr">
        <is>
          <t>Kaustubh</t>
        </is>
      </c>
      <c r="J286" t="inlineStr">
        <is>
          <t>India</t>
        </is>
      </c>
      <c r="K286" t="inlineStr">
        <is>
          <t>No</t>
        </is>
      </c>
      <c r="M286" t="inlineStr">
        <is>
          <t>In stock</t>
        </is>
      </c>
      <c r="N286" t="inlineStr">
        <is>
          <t>Mobile (travels with robot)</t>
        </is>
      </c>
    </row>
    <row r="287">
      <c r="A287" t="n">
        <v>286</v>
      </c>
      <c r="B287" t="n">
        <v>16</v>
      </c>
      <c r="C287" t="inlineStr">
        <is>
          <t>Mechanical parts</t>
        </is>
      </c>
      <c r="D287" t="inlineStr">
        <is>
          <t>16-A Bolts - M4</t>
        </is>
      </c>
      <c r="E287" s="24" t="inlineStr">
        <is>
          <t>Bolt - Socket Cap (SHCS), M4 x 40 mm</t>
        </is>
      </c>
      <c r="F287" t="inlineStr">
        <is>
          <t>10</t>
        </is>
      </c>
      <c r="G287" s="25" t="inlineStr">
        <is>
          <t>Consumable</t>
        </is>
      </c>
      <c r="H287" s="24" t="inlineStr">
        <is>
          <t>Bulk fastener - consumable-class stock</t>
        </is>
      </c>
      <c r="I287" t="inlineStr">
        <is>
          <t>Kaustubh</t>
        </is>
      </c>
      <c r="J287" t="inlineStr">
        <is>
          <t>India</t>
        </is>
      </c>
      <c r="K287" t="inlineStr">
        <is>
          <t>No</t>
        </is>
      </c>
      <c r="M287" t="inlineStr">
        <is>
          <t>In stock</t>
        </is>
      </c>
      <c r="N287" t="inlineStr">
        <is>
          <t>Mobile (travels with robot)</t>
        </is>
      </c>
    </row>
    <row r="288">
      <c r="A288" t="n">
        <v>287</v>
      </c>
      <c r="B288" t="n">
        <v>16</v>
      </c>
      <c r="C288" t="inlineStr">
        <is>
          <t>Mechanical parts</t>
        </is>
      </c>
      <c r="D288" t="inlineStr">
        <is>
          <t>16-A Bolts - M4</t>
        </is>
      </c>
      <c r="E288" s="24" t="inlineStr">
        <is>
          <t>Bolt - Countersunk (CSK), M4 x 12 mm</t>
        </is>
      </c>
      <c r="F288" t="inlineStr">
        <is>
          <t>10</t>
        </is>
      </c>
      <c r="G288" s="25" t="inlineStr">
        <is>
          <t>Consumable</t>
        </is>
      </c>
      <c r="H288" s="24" t="inlineStr">
        <is>
          <t>Bulk fastener - consumable-class stock</t>
        </is>
      </c>
      <c r="I288" t="inlineStr">
        <is>
          <t>Kaustubh</t>
        </is>
      </c>
      <c r="J288" t="inlineStr">
        <is>
          <t>India</t>
        </is>
      </c>
      <c r="K288" t="inlineStr">
        <is>
          <t>No</t>
        </is>
      </c>
      <c r="M288" t="inlineStr">
        <is>
          <t>In stock</t>
        </is>
      </c>
      <c r="N288" t="inlineStr">
        <is>
          <t>Mobile (travels with robot)</t>
        </is>
      </c>
    </row>
    <row r="289">
      <c r="A289" t="n">
        <v>288</v>
      </c>
      <c r="B289" t="n">
        <v>16</v>
      </c>
      <c r="C289" t="inlineStr">
        <is>
          <t>Mechanical parts</t>
        </is>
      </c>
      <c r="D289" t="inlineStr">
        <is>
          <t>16-A Bolts - M4</t>
        </is>
      </c>
      <c r="E289" s="24" t="inlineStr">
        <is>
          <t>Bolt - Countersunk (CSK), M4 x 16 mm</t>
        </is>
      </c>
      <c r="F289" t="inlineStr">
        <is>
          <t>10</t>
        </is>
      </c>
      <c r="G289" s="25" t="inlineStr">
        <is>
          <t>Consumable</t>
        </is>
      </c>
      <c r="H289" s="24" t="inlineStr">
        <is>
          <t>Bulk fastener - consumable-class stock</t>
        </is>
      </c>
      <c r="I289" t="inlineStr">
        <is>
          <t>Kaustubh</t>
        </is>
      </c>
      <c r="J289" t="inlineStr">
        <is>
          <t>India</t>
        </is>
      </c>
      <c r="K289" t="inlineStr">
        <is>
          <t>No</t>
        </is>
      </c>
      <c r="M289" t="inlineStr">
        <is>
          <t>In stock</t>
        </is>
      </c>
      <c r="N289" t="inlineStr">
        <is>
          <t>Mobile (travels with robot)</t>
        </is>
      </c>
    </row>
    <row r="290">
      <c r="A290" t="n">
        <v>289</v>
      </c>
      <c r="B290" t="n">
        <v>16</v>
      </c>
      <c r="C290" t="inlineStr">
        <is>
          <t>Mechanical parts</t>
        </is>
      </c>
      <c r="D290" t="inlineStr">
        <is>
          <t>16-A Bolts - M5</t>
        </is>
      </c>
      <c r="E290" s="24" t="inlineStr">
        <is>
          <t>Bolt - Socket Cap (SHCS), M5 x 8 mm</t>
        </is>
      </c>
      <c r="F290" t="inlineStr">
        <is>
          <t>10</t>
        </is>
      </c>
      <c r="G290" s="25" t="inlineStr">
        <is>
          <t>Consumable</t>
        </is>
      </c>
      <c r="H290" s="24" t="inlineStr">
        <is>
          <t>Bulk fastener - consumable-class stock</t>
        </is>
      </c>
      <c r="I290" t="inlineStr">
        <is>
          <t>Kaustubh</t>
        </is>
      </c>
      <c r="J290" t="inlineStr">
        <is>
          <t>India</t>
        </is>
      </c>
      <c r="K290" t="inlineStr">
        <is>
          <t>No</t>
        </is>
      </c>
      <c r="M290" t="inlineStr">
        <is>
          <t>In stock</t>
        </is>
      </c>
      <c r="N290" t="inlineStr">
        <is>
          <t>Mobile (travels with robot)</t>
        </is>
      </c>
    </row>
    <row r="291">
      <c r="A291" t="n">
        <v>290</v>
      </c>
      <c r="B291" t="n">
        <v>16</v>
      </c>
      <c r="C291" t="inlineStr">
        <is>
          <t>Mechanical parts</t>
        </is>
      </c>
      <c r="D291" t="inlineStr">
        <is>
          <t>16-A Bolts - M5</t>
        </is>
      </c>
      <c r="E291" s="24" t="inlineStr">
        <is>
          <t>Bolt - Socket Cap (SHCS), M5 x 10 mm</t>
        </is>
      </c>
      <c r="F291" t="inlineStr">
        <is>
          <t>10</t>
        </is>
      </c>
      <c r="G291" s="25" t="inlineStr">
        <is>
          <t>Consumable</t>
        </is>
      </c>
      <c r="H291" s="24" t="inlineStr">
        <is>
          <t>Bulk fastener - consumable-class stock</t>
        </is>
      </c>
      <c r="I291" t="inlineStr">
        <is>
          <t>Kaustubh</t>
        </is>
      </c>
      <c r="J291" t="inlineStr">
        <is>
          <t>India</t>
        </is>
      </c>
      <c r="K291" t="inlineStr">
        <is>
          <t>No</t>
        </is>
      </c>
      <c r="M291" t="inlineStr">
        <is>
          <t>In stock</t>
        </is>
      </c>
      <c r="N291" t="inlineStr">
        <is>
          <t>Mobile (travels with robot)</t>
        </is>
      </c>
    </row>
    <row r="292">
      <c r="A292" t="n">
        <v>291</v>
      </c>
      <c r="B292" t="n">
        <v>16</v>
      </c>
      <c r="C292" t="inlineStr">
        <is>
          <t>Mechanical parts</t>
        </is>
      </c>
      <c r="D292" t="inlineStr">
        <is>
          <t>16-A Bolts - M5</t>
        </is>
      </c>
      <c r="E292" s="24" t="inlineStr">
        <is>
          <t>Bolt - Socket Cap (SHCS), M5 x 12 mm</t>
        </is>
      </c>
      <c r="F292" t="inlineStr">
        <is>
          <t>10</t>
        </is>
      </c>
      <c r="G292" s="25" t="inlineStr">
        <is>
          <t>Consumable</t>
        </is>
      </c>
      <c r="H292" s="24" t="inlineStr">
        <is>
          <t>Bulk fastener - consumable-class stock</t>
        </is>
      </c>
      <c r="I292" t="inlineStr">
        <is>
          <t>Kaustubh</t>
        </is>
      </c>
      <c r="J292" t="inlineStr">
        <is>
          <t>India</t>
        </is>
      </c>
      <c r="K292" t="inlineStr">
        <is>
          <t>No</t>
        </is>
      </c>
      <c r="M292" t="inlineStr">
        <is>
          <t>In stock</t>
        </is>
      </c>
      <c r="N292" t="inlineStr">
        <is>
          <t>Mobile (travels with robot)</t>
        </is>
      </c>
    </row>
    <row r="293">
      <c r="A293" t="n">
        <v>292</v>
      </c>
      <c r="B293" t="n">
        <v>16</v>
      </c>
      <c r="C293" t="inlineStr">
        <is>
          <t>Mechanical parts</t>
        </is>
      </c>
      <c r="D293" t="inlineStr">
        <is>
          <t>16-A Bolts - M5</t>
        </is>
      </c>
      <c r="E293" s="24" t="inlineStr">
        <is>
          <t>Bolt - Socket Cap (SHCS), M5 x 16 mm</t>
        </is>
      </c>
      <c r="F293" t="inlineStr">
        <is>
          <t>20</t>
        </is>
      </c>
      <c r="G293" s="25" t="inlineStr">
        <is>
          <t>Consumable</t>
        </is>
      </c>
      <c r="H293" s="24" t="inlineStr">
        <is>
          <t>Bulk fastener - consumable-class stock</t>
        </is>
      </c>
      <c r="I293" t="inlineStr">
        <is>
          <t>Kaustubh</t>
        </is>
      </c>
      <c r="J293" t="inlineStr">
        <is>
          <t>India</t>
        </is>
      </c>
      <c r="K293" t="inlineStr">
        <is>
          <t>No</t>
        </is>
      </c>
      <c r="M293" t="inlineStr">
        <is>
          <t>In stock</t>
        </is>
      </c>
      <c r="N293" t="inlineStr">
        <is>
          <t>Mobile (travels with robot)</t>
        </is>
      </c>
    </row>
    <row r="294">
      <c r="A294" t="n">
        <v>293</v>
      </c>
      <c r="B294" t="n">
        <v>16</v>
      </c>
      <c r="C294" t="inlineStr">
        <is>
          <t>Mechanical parts</t>
        </is>
      </c>
      <c r="D294" t="inlineStr">
        <is>
          <t>16-A Bolts - M5</t>
        </is>
      </c>
      <c r="E294" s="24" t="inlineStr">
        <is>
          <t>Bolt - Socket Cap (SHCS), M5 x 20 mm</t>
        </is>
      </c>
      <c r="F294" t="inlineStr">
        <is>
          <t>10</t>
        </is>
      </c>
      <c r="G294" s="25" t="inlineStr">
        <is>
          <t>Consumable</t>
        </is>
      </c>
      <c r="H294" s="24" t="inlineStr">
        <is>
          <t>Bulk fastener - consumable-class stock</t>
        </is>
      </c>
      <c r="I294" t="inlineStr">
        <is>
          <t>Kaustubh</t>
        </is>
      </c>
      <c r="J294" t="inlineStr">
        <is>
          <t>India</t>
        </is>
      </c>
      <c r="K294" t="inlineStr">
        <is>
          <t>No</t>
        </is>
      </c>
      <c r="M294" t="inlineStr">
        <is>
          <t>In stock</t>
        </is>
      </c>
      <c r="N294" t="inlineStr">
        <is>
          <t>Mobile (travels with robot)</t>
        </is>
      </c>
    </row>
    <row r="295">
      <c r="A295" t="n">
        <v>294</v>
      </c>
      <c r="B295" t="n">
        <v>16</v>
      </c>
      <c r="C295" t="inlineStr">
        <is>
          <t>Mechanical parts</t>
        </is>
      </c>
      <c r="D295" t="inlineStr">
        <is>
          <t>16-A Bolts - M5</t>
        </is>
      </c>
      <c r="E295" s="24" t="inlineStr">
        <is>
          <t>Bolt - Socket Cap (SHCS), M5 x 25 mm</t>
        </is>
      </c>
      <c r="F295" t="inlineStr">
        <is>
          <t>10</t>
        </is>
      </c>
      <c r="G295" s="25" t="inlineStr">
        <is>
          <t>Consumable</t>
        </is>
      </c>
      <c r="H295" s="24" t="inlineStr">
        <is>
          <t>Bulk fastener - consumable-class stock</t>
        </is>
      </c>
      <c r="I295" t="inlineStr">
        <is>
          <t>Kaustubh</t>
        </is>
      </c>
      <c r="J295" t="inlineStr">
        <is>
          <t>India</t>
        </is>
      </c>
      <c r="K295" t="inlineStr">
        <is>
          <t>No</t>
        </is>
      </c>
      <c r="M295" t="inlineStr">
        <is>
          <t>In stock</t>
        </is>
      </c>
      <c r="N295" t="inlineStr">
        <is>
          <t>Mobile (travels with robot)</t>
        </is>
      </c>
    </row>
    <row r="296">
      <c r="A296" t="n">
        <v>295</v>
      </c>
      <c r="B296" t="n">
        <v>16</v>
      </c>
      <c r="C296" t="inlineStr">
        <is>
          <t>Mechanical parts</t>
        </is>
      </c>
      <c r="D296" t="inlineStr">
        <is>
          <t>16-A Bolts - M5</t>
        </is>
      </c>
      <c r="E296" s="24" t="inlineStr">
        <is>
          <t>Bolt - Socket Cap (SHCS), M5 x 30 mm</t>
        </is>
      </c>
      <c r="F296" t="inlineStr">
        <is>
          <t>10</t>
        </is>
      </c>
      <c r="G296" s="25" t="inlineStr">
        <is>
          <t>Consumable</t>
        </is>
      </c>
      <c r="H296" s="24" t="inlineStr">
        <is>
          <t>Bulk fastener - consumable-class stock</t>
        </is>
      </c>
      <c r="I296" t="inlineStr">
        <is>
          <t>Kaustubh</t>
        </is>
      </c>
      <c r="J296" t="inlineStr">
        <is>
          <t>India</t>
        </is>
      </c>
      <c r="K296" t="inlineStr">
        <is>
          <t>No</t>
        </is>
      </c>
      <c r="M296" t="inlineStr">
        <is>
          <t>In stock</t>
        </is>
      </c>
      <c r="N296" t="inlineStr">
        <is>
          <t>Mobile (travels with robot)</t>
        </is>
      </c>
    </row>
    <row r="297">
      <c r="A297" t="n">
        <v>296</v>
      </c>
      <c r="B297" t="n">
        <v>16</v>
      </c>
      <c r="C297" t="inlineStr">
        <is>
          <t>Mechanical parts</t>
        </is>
      </c>
      <c r="D297" t="inlineStr">
        <is>
          <t>16-A Bolts - M5</t>
        </is>
      </c>
      <c r="E297" s="24" t="inlineStr">
        <is>
          <t>Bolt - Socket Cap (SHCS), M5 x 35 mm</t>
        </is>
      </c>
      <c r="F297" t="inlineStr">
        <is>
          <t>10</t>
        </is>
      </c>
      <c r="G297" s="25" t="inlineStr">
        <is>
          <t>Consumable</t>
        </is>
      </c>
      <c r="H297" s="24" t="inlineStr">
        <is>
          <t>Bulk fastener - consumable-class stock</t>
        </is>
      </c>
      <c r="I297" t="inlineStr">
        <is>
          <t>Kaustubh</t>
        </is>
      </c>
      <c r="J297" t="inlineStr">
        <is>
          <t>India</t>
        </is>
      </c>
      <c r="K297" t="inlineStr">
        <is>
          <t>No</t>
        </is>
      </c>
      <c r="M297" t="inlineStr">
        <is>
          <t>In stock</t>
        </is>
      </c>
      <c r="N297" t="inlineStr">
        <is>
          <t>Mobile (travels with robot)</t>
        </is>
      </c>
    </row>
    <row r="298">
      <c r="A298" t="n">
        <v>297</v>
      </c>
      <c r="B298" t="n">
        <v>16</v>
      </c>
      <c r="C298" t="inlineStr">
        <is>
          <t>Mechanical parts</t>
        </is>
      </c>
      <c r="D298" t="inlineStr">
        <is>
          <t>16-A Bolts - M5</t>
        </is>
      </c>
      <c r="E298" s="24" t="inlineStr">
        <is>
          <t>Bolt - Socket Cap (SHCS), M5 x 40 mm</t>
        </is>
      </c>
      <c r="F298" t="inlineStr">
        <is>
          <t>10</t>
        </is>
      </c>
      <c r="G298" s="25" t="inlineStr">
        <is>
          <t>Consumable</t>
        </is>
      </c>
      <c r="H298" s="24" t="inlineStr">
        <is>
          <t>Bulk fastener - consumable-class stock</t>
        </is>
      </c>
      <c r="I298" t="inlineStr">
        <is>
          <t>Kaustubh</t>
        </is>
      </c>
      <c r="J298" t="inlineStr">
        <is>
          <t>India</t>
        </is>
      </c>
      <c r="K298" t="inlineStr">
        <is>
          <t>No</t>
        </is>
      </c>
      <c r="M298" t="inlineStr">
        <is>
          <t>In stock</t>
        </is>
      </c>
      <c r="N298" t="inlineStr">
        <is>
          <t>Mobile (travels with robot)</t>
        </is>
      </c>
    </row>
    <row r="299">
      <c r="A299" t="n">
        <v>298</v>
      </c>
      <c r="B299" t="n">
        <v>16</v>
      </c>
      <c r="C299" t="inlineStr">
        <is>
          <t>Mechanical parts</t>
        </is>
      </c>
      <c r="D299" t="inlineStr">
        <is>
          <t>16-A Bolts - M5</t>
        </is>
      </c>
      <c r="E299" s="24" t="inlineStr">
        <is>
          <t>Bolt - Socket Cap (SHCS), M5 x 50 mm</t>
        </is>
      </c>
      <c r="F299" t="inlineStr">
        <is>
          <t>10</t>
        </is>
      </c>
      <c r="G299" s="25" t="inlineStr">
        <is>
          <t>Consumable</t>
        </is>
      </c>
      <c r="H299" s="24" t="inlineStr">
        <is>
          <t>Bulk fastener - consumable-class stock</t>
        </is>
      </c>
      <c r="I299" t="inlineStr">
        <is>
          <t>Kaustubh</t>
        </is>
      </c>
      <c r="J299" t="inlineStr">
        <is>
          <t>India</t>
        </is>
      </c>
      <c r="K299" t="inlineStr">
        <is>
          <t>No</t>
        </is>
      </c>
      <c r="M299" t="inlineStr">
        <is>
          <t>In stock</t>
        </is>
      </c>
      <c r="N299" t="inlineStr">
        <is>
          <t>Mobile (travels with robot)</t>
        </is>
      </c>
    </row>
    <row r="300">
      <c r="A300" t="n">
        <v>299</v>
      </c>
      <c r="B300" t="n">
        <v>16</v>
      </c>
      <c r="C300" t="inlineStr">
        <is>
          <t>Mechanical parts</t>
        </is>
      </c>
      <c r="D300" t="inlineStr">
        <is>
          <t>16-A Bolts - M5</t>
        </is>
      </c>
      <c r="E300" s="24" t="inlineStr">
        <is>
          <t>Bolt - Countersunk (CSK), M5 x 12 mm</t>
        </is>
      </c>
      <c r="F300" t="inlineStr">
        <is>
          <t>10</t>
        </is>
      </c>
      <c r="G300" s="25" t="inlineStr">
        <is>
          <t>Consumable</t>
        </is>
      </c>
      <c r="H300" s="24" t="inlineStr">
        <is>
          <t>Bulk fastener - consumable-class stock</t>
        </is>
      </c>
      <c r="I300" t="inlineStr">
        <is>
          <t>Kaustubh</t>
        </is>
      </c>
      <c r="J300" t="inlineStr">
        <is>
          <t>India</t>
        </is>
      </c>
      <c r="K300" t="inlineStr">
        <is>
          <t>No</t>
        </is>
      </c>
      <c r="M300" t="inlineStr">
        <is>
          <t>In stock</t>
        </is>
      </c>
      <c r="N300" t="inlineStr">
        <is>
          <t>Mobile (travels with robot)</t>
        </is>
      </c>
    </row>
    <row r="301">
      <c r="A301" t="n">
        <v>300</v>
      </c>
      <c r="B301" t="n">
        <v>16</v>
      </c>
      <c r="C301" t="inlineStr">
        <is>
          <t>Mechanical parts</t>
        </is>
      </c>
      <c r="D301" t="inlineStr">
        <is>
          <t>16-A Bolts - M5</t>
        </is>
      </c>
      <c r="E301" s="24" t="inlineStr">
        <is>
          <t>Bolt - Countersunk (CSK), M5 x 16 mm</t>
        </is>
      </c>
      <c r="F301" t="inlineStr">
        <is>
          <t>10</t>
        </is>
      </c>
      <c r="G301" s="25" t="inlineStr">
        <is>
          <t>Consumable</t>
        </is>
      </c>
      <c r="H301" s="24" t="inlineStr">
        <is>
          <t>Bulk fastener - consumable-class stock</t>
        </is>
      </c>
      <c r="I301" t="inlineStr">
        <is>
          <t>Kaustubh</t>
        </is>
      </c>
      <c r="J301" t="inlineStr">
        <is>
          <t>India</t>
        </is>
      </c>
      <c r="K301" t="inlineStr">
        <is>
          <t>No</t>
        </is>
      </c>
      <c r="M301" t="inlineStr">
        <is>
          <t>In stock</t>
        </is>
      </c>
      <c r="N301" t="inlineStr">
        <is>
          <t>Mobile (travels with robot)</t>
        </is>
      </c>
    </row>
    <row r="302">
      <c r="A302" t="n">
        <v>301</v>
      </c>
      <c r="B302" t="n">
        <v>16</v>
      </c>
      <c r="C302" t="inlineStr">
        <is>
          <t>Mechanical parts</t>
        </is>
      </c>
      <c r="D302" t="inlineStr">
        <is>
          <t>16-A Bolts - M6</t>
        </is>
      </c>
      <c r="E302" s="24" t="inlineStr">
        <is>
          <t>Bolt - Socket Cap (SHCS), M6 x 10 mm</t>
        </is>
      </c>
      <c r="F302" t="inlineStr">
        <is>
          <t>10</t>
        </is>
      </c>
      <c r="G302" s="25" t="inlineStr">
        <is>
          <t>Consumable</t>
        </is>
      </c>
      <c r="H302" s="24" t="inlineStr">
        <is>
          <t>Bulk fastener - consumable-class stock</t>
        </is>
      </c>
      <c r="I302" t="inlineStr">
        <is>
          <t>Kaustubh</t>
        </is>
      </c>
      <c r="J302" t="inlineStr">
        <is>
          <t>India</t>
        </is>
      </c>
      <c r="K302" t="inlineStr">
        <is>
          <t>No</t>
        </is>
      </c>
      <c r="M302" t="inlineStr">
        <is>
          <t>In stock</t>
        </is>
      </c>
      <c r="N302" t="inlineStr">
        <is>
          <t>Mobile (travels with robot)</t>
        </is>
      </c>
    </row>
    <row r="303">
      <c r="A303" t="n">
        <v>302</v>
      </c>
      <c r="B303" t="n">
        <v>16</v>
      </c>
      <c r="C303" t="inlineStr">
        <is>
          <t>Mechanical parts</t>
        </is>
      </c>
      <c r="D303" t="inlineStr">
        <is>
          <t>16-A Bolts - M6</t>
        </is>
      </c>
      <c r="E303" s="24" t="inlineStr">
        <is>
          <t>Bolt - Socket Cap (SHCS), M6 x 12 mm</t>
        </is>
      </c>
      <c r="F303" t="inlineStr">
        <is>
          <t>10</t>
        </is>
      </c>
      <c r="G303" s="25" t="inlineStr">
        <is>
          <t>Consumable</t>
        </is>
      </c>
      <c r="H303" s="24" t="inlineStr">
        <is>
          <t>Bulk fastener - consumable-class stock</t>
        </is>
      </c>
      <c r="I303" t="inlineStr">
        <is>
          <t>Kaustubh</t>
        </is>
      </c>
      <c r="J303" t="inlineStr">
        <is>
          <t>India</t>
        </is>
      </c>
      <c r="K303" t="inlineStr">
        <is>
          <t>No</t>
        </is>
      </c>
      <c r="M303" t="inlineStr">
        <is>
          <t>In stock</t>
        </is>
      </c>
      <c r="N303" t="inlineStr">
        <is>
          <t>Mobile (travels with robot)</t>
        </is>
      </c>
    </row>
    <row r="304">
      <c r="A304" t="n">
        <v>303</v>
      </c>
      <c r="B304" t="n">
        <v>16</v>
      </c>
      <c r="C304" t="inlineStr">
        <is>
          <t>Mechanical parts</t>
        </is>
      </c>
      <c r="D304" t="inlineStr">
        <is>
          <t>16-A Bolts - M6</t>
        </is>
      </c>
      <c r="E304" s="24" t="inlineStr">
        <is>
          <t>Bolt - Socket Cap (SHCS), M6 x 16 mm</t>
        </is>
      </c>
      <c r="F304" t="inlineStr">
        <is>
          <t>10</t>
        </is>
      </c>
      <c r="G304" s="25" t="inlineStr">
        <is>
          <t>Consumable</t>
        </is>
      </c>
      <c r="H304" s="24" t="inlineStr">
        <is>
          <t>Bulk fastener - consumable-class stock</t>
        </is>
      </c>
      <c r="I304" t="inlineStr">
        <is>
          <t>Kaustubh</t>
        </is>
      </c>
      <c r="J304" t="inlineStr">
        <is>
          <t>India</t>
        </is>
      </c>
      <c r="K304" t="inlineStr">
        <is>
          <t>No</t>
        </is>
      </c>
      <c r="M304" t="inlineStr">
        <is>
          <t>In stock</t>
        </is>
      </c>
      <c r="N304" t="inlineStr">
        <is>
          <t>Mobile (travels with robot)</t>
        </is>
      </c>
    </row>
    <row r="305">
      <c r="A305" t="n">
        <v>304</v>
      </c>
      <c r="B305" t="n">
        <v>16</v>
      </c>
      <c r="C305" t="inlineStr">
        <is>
          <t>Mechanical parts</t>
        </is>
      </c>
      <c r="D305" t="inlineStr">
        <is>
          <t>16-A Bolts - M6</t>
        </is>
      </c>
      <c r="E305" s="24" t="inlineStr">
        <is>
          <t>Bolt - Socket Cap (SHCS), M6 x 20 mm</t>
        </is>
      </c>
      <c r="F305" t="inlineStr">
        <is>
          <t>10</t>
        </is>
      </c>
      <c r="G305" s="25" t="inlineStr">
        <is>
          <t>Consumable</t>
        </is>
      </c>
      <c r="H305" s="24" t="inlineStr">
        <is>
          <t>Bulk fastener - consumable-class stock</t>
        </is>
      </c>
      <c r="I305" t="inlineStr">
        <is>
          <t>Kaustubh</t>
        </is>
      </c>
      <c r="J305" t="inlineStr">
        <is>
          <t>India</t>
        </is>
      </c>
      <c r="K305" t="inlineStr">
        <is>
          <t>No</t>
        </is>
      </c>
      <c r="M305" t="inlineStr">
        <is>
          <t>In stock</t>
        </is>
      </c>
      <c r="N305" t="inlineStr">
        <is>
          <t>Mobile (travels with robot)</t>
        </is>
      </c>
    </row>
    <row r="306">
      <c r="A306" t="n">
        <v>305</v>
      </c>
      <c r="B306" t="n">
        <v>16</v>
      </c>
      <c r="C306" t="inlineStr">
        <is>
          <t>Mechanical parts</t>
        </is>
      </c>
      <c r="D306" t="inlineStr">
        <is>
          <t>16-A Bolts - M6</t>
        </is>
      </c>
      <c r="E306" s="24" t="inlineStr">
        <is>
          <t>Bolt - Socket Cap (SHCS), M6 x 25 mm</t>
        </is>
      </c>
      <c r="F306" t="inlineStr">
        <is>
          <t>10</t>
        </is>
      </c>
      <c r="G306" s="25" t="inlineStr">
        <is>
          <t>Consumable</t>
        </is>
      </c>
      <c r="H306" s="24" t="inlineStr">
        <is>
          <t>Bulk fastener - consumable-class stock</t>
        </is>
      </c>
      <c r="I306" t="inlineStr">
        <is>
          <t>Kaustubh</t>
        </is>
      </c>
      <c r="J306" t="inlineStr">
        <is>
          <t>India</t>
        </is>
      </c>
      <c r="K306" t="inlineStr">
        <is>
          <t>No</t>
        </is>
      </c>
      <c r="M306" t="inlineStr">
        <is>
          <t>In stock</t>
        </is>
      </c>
      <c r="N306" t="inlineStr">
        <is>
          <t>Mobile (travels with robot)</t>
        </is>
      </c>
    </row>
    <row r="307">
      <c r="A307" t="n">
        <v>306</v>
      </c>
      <c r="B307" t="n">
        <v>16</v>
      </c>
      <c r="C307" t="inlineStr">
        <is>
          <t>Mechanical parts</t>
        </is>
      </c>
      <c r="D307" t="inlineStr">
        <is>
          <t>16-A Bolts - M6</t>
        </is>
      </c>
      <c r="E307" s="24" t="inlineStr">
        <is>
          <t>Bolt - Socket Cap (SHCS), M6 x 30 mm</t>
        </is>
      </c>
      <c r="F307" t="inlineStr">
        <is>
          <t>10</t>
        </is>
      </c>
      <c r="G307" s="25" t="inlineStr">
        <is>
          <t>Consumable</t>
        </is>
      </c>
      <c r="H307" s="24" t="inlineStr">
        <is>
          <t>Bulk fastener - consumable-class stock</t>
        </is>
      </c>
      <c r="I307" t="inlineStr">
        <is>
          <t>Kaustubh</t>
        </is>
      </c>
      <c r="J307" t="inlineStr">
        <is>
          <t>India</t>
        </is>
      </c>
      <c r="K307" t="inlineStr">
        <is>
          <t>No</t>
        </is>
      </c>
      <c r="M307" t="inlineStr">
        <is>
          <t>In stock</t>
        </is>
      </c>
      <c r="N307" t="inlineStr">
        <is>
          <t>Mobile (travels with robot)</t>
        </is>
      </c>
    </row>
    <row r="308">
      <c r="A308" t="n">
        <v>307</v>
      </c>
      <c r="B308" t="n">
        <v>16</v>
      </c>
      <c r="C308" t="inlineStr">
        <is>
          <t>Mechanical parts</t>
        </is>
      </c>
      <c r="D308" t="inlineStr">
        <is>
          <t>16-A Bolts - M6</t>
        </is>
      </c>
      <c r="E308" s="24" t="inlineStr">
        <is>
          <t>Bolt - Socket Cap (SHCS), M6 x 35 mm</t>
        </is>
      </c>
      <c r="F308" t="inlineStr">
        <is>
          <t>10</t>
        </is>
      </c>
      <c r="G308" s="25" t="inlineStr">
        <is>
          <t>Consumable</t>
        </is>
      </c>
      <c r="H308" s="24" t="inlineStr">
        <is>
          <t>Bulk fastener - consumable-class stock</t>
        </is>
      </c>
      <c r="I308" t="inlineStr">
        <is>
          <t>Kaustubh</t>
        </is>
      </c>
      <c r="J308" t="inlineStr">
        <is>
          <t>India</t>
        </is>
      </c>
      <c r="K308" t="inlineStr">
        <is>
          <t>No</t>
        </is>
      </c>
      <c r="M308" t="inlineStr">
        <is>
          <t>In stock</t>
        </is>
      </c>
      <c r="N308" t="inlineStr">
        <is>
          <t>Mobile (travels with robot)</t>
        </is>
      </c>
    </row>
    <row r="309">
      <c r="A309" t="n">
        <v>308</v>
      </c>
      <c r="B309" t="n">
        <v>16</v>
      </c>
      <c r="C309" t="inlineStr">
        <is>
          <t>Mechanical parts</t>
        </is>
      </c>
      <c r="D309" t="inlineStr">
        <is>
          <t>16-A Bolts - M6</t>
        </is>
      </c>
      <c r="E309" s="24" t="inlineStr">
        <is>
          <t>Bolt - Socket Cap (SHCS), M6 x 40 mm</t>
        </is>
      </c>
      <c r="F309" t="inlineStr">
        <is>
          <t>10</t>
        </is>
      </c>
      <c r="G309" s="25" t="inlineStr">
        <is>
          <t>Consumable</t>
        </is>
      </c>
      <c r="H309" s="24" t="inlineStr">
        <is>
          <t>Bulk fastener - consumable-class stock</t>
        </is>
      </c>
      <c r="I309" t="inlineStr">
        <is>
          <t>Kaustubh</t>
        </is>
      </c>
      <c r="J309" t="inlineStr">
        <is>
          <t>India</t>
        </is>
      </c>
      <c r="K309" t="inlineStr">
        <is>
          <t>No</t>
        </is>
      </c>
      <c r="M309" t="inlineStr">
        <is>
          <t>In stock</t>
        </is>
      </c>
      <c r="N309" t="inlineStr">
        <is>
          <t>Mobile (travels with robot)</t>
        </is>
      </c>
    </row>
    <row r="310">
      <c r="A310" t="n">
        <v>309</v>
      </c>
      <c r="B310" t="n">
        <v>16</v>
      </c>
      <c r="C310" t="inlineStr">
        <is>
          <t>Mechanical parts</t>
        </is>
      </c>
      <c r="D310" t="inlineStr">
        <is>
          <t>16-A Bolts - M6</t>
        </is>
      </c>
      <c r="E310" s="24" t="inlineStr">
        <is>
          <t>Bolt - Socket Cap (SHCS), M6 x 50 mm</t>
        </is>
      </c>
      <c r="F310" t="inlineStr">
        <is>
          <t>10</t>
        </is>
      </c>
      <c r="G310" s="25" t="inlineStr">
        <is>
          <t>Consumable</t>
        </is>
      </c>
      <c r="H310" s="24" t="inlineStr">
        <is>
          <t>Bulk fastener - consumable-class stock</t>
        </is>
      </c>
      <c r="I310" t="inlineStr">
        <is>
          <t>Kaustubh</t>
        </is>
      </c>
      <c r="J310" t="inlineStr">
        <is>
          <t>India</t>
        </is>
      </c>
      <c r="K310" t="inlineStr">
        <is>
          <t>No</t>
        </is>
      </c>
      <c r="M310" t="inlineStr">
        <is>
          <t>In stock</t>
        </is>
      </c>
      <c r="N310" t="inlineStr">
        <is>
          <t>Mobile (travels with robot)</t>
        </is>
      </c>
    </row>
    <row r="311">
      <c r="A311" t="n">
        <v>310</v>
      </c>
      <c r="B311" t="n">
        <v>16</v>
      </c>
      <c r="C311" t="inlineStr">
        <is>
          <t>Mechanical parts</t>
        </is>
      </c>
      <c r="D311" t="inlineStr">
        <is>
          <t>16-A Bolts - M6</t>
        </is>
      </c>
      <c r="E311" s="24" t="inlineStr">
        <is>
          <t>Bolt - Countersunk (CSK), M6 x 12 mm</t>
        </is>
      </c>
      <c r="F311" t="inlineStr">
        <is>
          <t>10</t>
        </is>
      </c>
      <c r="G311" s="25" t="inlineStr">
        <is>
          <t>Consumable</t>
        </is>
      </c>
      <c r="H311" s="24" t="inlineStr">
        <is>
          <t>Bulk fastener - consumable-class stock</t>
        </is>
      </c>
      <c r="I311" t="inlineStr">
        <is>
          <t>Kaustubh</t>
        </is>
      </c>
      <c r="J311" t="inlineStr">
        <is>
          <t>India</t>
        </is>
      </c>
      <c r="K311" t="inlineStr">
        <is>
          <t>No</t>
        </is>
      </c>
      <c r="M311" t="inlineStr">
        <is>
          <t>In stock</t>
        </is>
      </c>
      <c r="N311" t="inlineStr">
        <is>
          <t>Mobile (travels with robot)</t>
        </is>
      </c>
    </row>
    <row r="312">
      <c r="A312" t="n">
        <v>311</v>
      </c>
      <c r="B312" t="n">
        <v>16</v>
      </c>
      <c r="C312" t="inlineStr">
        <is>
          <t>Mechanical parts</t>
        </is>
      </c>
      <c r="D312" t="inlineStr">
        <is>
          <t>16-A Bolts - M6</t>
        </is>
      </c>
      <c r="E312" s="24" t="inlineStr">
        <is>
          <t>Bolt - Countersunk (CSK), M6 x 16 mm</t>
        </is>
      </c>
      <c r="F312" t="inlineStr">
        <is>
          <t>10</t>
        </is>
      </c>
      <c r="G312" s="25" t="inlineStr">
        <is>
          <t>Consumable</t>
        </is>
      </c>
      <c r="H312" s="24" t="inlineStr">
        <is>
          <t>Bulk fastener - consumable-class stock</t>
        </is>
      </c>
      <c r="I312" t="inlineStr">
        <is>
          <t>Kaustubh</t>
        </is>
      </c>
      <c r="J312" t="inlineStr">
        <is>
          <t>India</t>
        </is>
      </c>
      <c r="K312" t="inlineStr">
        <is>
          <t>No</t>
        </is>
      </c>
      <c r="M312" t="inlineStr">
        <is>
          <t>In stock</t>
        </is>
      </c>
      <c r="N312" t="inlineStr">
        <is>
          <t>Mobile (travels with robot)</t>
        </is>
      </c>
    </row>
    <row r="313">
      <c r="A313" t="n">
        <v>312</v>
      </c>
      <c r="B313" t="n">
        <v>16</v>
      </c>
      <c r="C313" t="inlineStr">
        <is>
          <t>Mechanical parts</t>
        </is>
      </c>
      <c r="D313" t="inlineStr">
        <is>
          <t>16-A Bolts - M8</t>
        </is>
      </c>
      <c r="E313" s="24" t="inlineStr">
        <is>
          <t>Bolt - Socket Cap (SHCS), M8 x 12 mm</t>
        </is>
      </c>
      <c r="F313" t="inlineStr">
        <is>
          <t>10</t>
        </is>
      </c>
      <c r="G313" s="25" t="inlineStr">
        <is>
          <t>Consumable</t>
        </is>
      </c>
      <c r="H313" s="24" t="inlineStr">
        <is>
          <t>Bulk fastener - consumable-class stock</t>
        </is>
      </c>
      <c r="I313" t="inlineStr">
        <is>
          <t>Kaustubh</t>
        </is>
      </c>
      <c r="J313" t="inlineStr">
        <is>
          <t>India</t>
        </is>
      </c>
      <c r="K313" t="inlineStr">
        <is>
          <t>No</t>
        </is>
      </c>
      <c r="M313" t="inlineStr">
        <is>
          <t>In stock</t>
        </is>
      </c>
      <c r="N313" t="inlineStr">
        <is>
          <t>Mobile (travels with robot)</t>
        </is>
      </c>
    </row>
    <row r="314">
      <c r="A314" t="n">
        <v>313</v>
      </c>
      <c r="B314" t="n">
        <v>16</v>
      </c>
      <c r="C314" t="inlineStr">
        <is>
          <t>Mechanical parts</t>
        </is>
      </c>
      <c r="D314" t="inlineStr">
        <is>
          <t>16-A Bolts - M8</t>
        </is>
      </c>
      <c r="E314" s="24" t="inlineStr">
        <is>
          <t>Bolt - Socket Cap (SHCS), M8 x 16 mm</t>
        </is>
      </c>
      <c r="F314" t="inlineStr">
        <is>
          <t>10</t>
        </is>
      </c>
      <c r="G314" s="25" t="inlineStr">
        <is>
          <t>Consumable</t>
        </is>
      </c>
      <c r="H314" s="24" t="inlineStr">
        <is>
          <t>Bulk fastener - consumable-class stock</t>
        </is>
      </c>
      <c r="I314" t="inlineStr">
        <is>
          <t>Kaustubh</t>
        </is>
      </c>
      <c r="J314" t="inlineStr">
        <is>
          <t>India</t>
        </is>
      </c>
      <c r="K314" t="inlineStr">
        <is>
          <t>No</t>
        </is>
      </c>
      <c r="M314" t="inlineStr">
        <is>
          <t>In stock</t>
        </is>
      </c>
      <c r="N314" t="inlineStr">
        <is>
          <t>Mobile (travels with robot)</t>
        </is>
      </c>
    </row>
    <row r="315">
      <c r="A315" t="n">
        <v>314</v>
      </c>
      <c r="B315" t="n">
        <v>16</v>
      </c>
      <c r="C315" t="inlineStr">
        <is>
          <t>Mechanical parts</t>
        </is>
      </c>
      <c r="D315" t="inlineStr">
        <is>
          <t>16-A Bolts - M8</t>
        </is>
      </c>
      <c r="E315" s="24" t="inlineStr">
        <is>
          <t>Bolt - Socket Cap (SHCS), M8 x 20 mm</t>
        </is>
      </c>
      <c r="F315" t="inlineStr">
        <is>
          <t>10</t>
        </is>
      </c>
      <c r="G315" s="25" t="inlineStr">
        <is>
          <t>Consumable</t>
        </is>
      </c>
      <c r="H315" s="24" t="inlineStr">
        <is>
          <t>Bulk fastener - consumable-class stock</t>
        </is>
      </c>
      <c r="I315" t="inlineStr">
        <is>
          <t>Kaustubh</t>
        </is>
      </c>
      <c r="J315" t="inlineStr">
        <is>
          <t>India</t>
        </is>
      </c>
      <c r="K315" t="inlineStr">
        <is>
          <t>No</t>
        </is>
      </c>
      <c r="M315" t="inlineStr">
        <is>
          <t>In stock</t>
        </is>
      </c>
      <c r="N315" t="inlineStr">
        <is>
          <t>Mobile (travels with robot)</t>
        </is>
      </c>
    </row>
    <row r="316">
      <c r="A316" t="n">
        <v>315</v>
      </c>
      <c r="B316" t="n">
        <v>16</v>
      </c>
      <c r="C316" t="inlineStr">
        <is>
          <t>Mechanical parts</t>
        </is>
      </c>
      <c r="D316" t="inlineStr">
        <is>
          <t>16-A Bolts - M8</t>
        </is>
      </c>
      <c r="E316" s="24" t="inlineStr">
        <is>
          <t>Bolt - Socket Cap (SHCS), M8 x 25 mm</t>
        </is>
      </c>
      <c r="F316" t="inlineStr">
        <is>
          <t>10</t>
        </is>
      </c>
      <c r="G316" s="25" t="inlineStr">
        <is>
          <t>Consumable</t>
        </is>
      </c>
      <c r="H316" s="24" t="inlineStr">
        <is>
          <t>Bulk fastener - consumable-class stock</t>
        </is>
      </c>
      <c r="I316" t="inlineStr">
        <is>
          <t>Kaustubh</t>
        </is>
      </c>
      <c r="J316" t="inlineStr">
        <is>
          <t>India</t>
        </is>
      </c>
      <c r="K316" t="inlineStr">
        <is>
          <t>No</t>
        </is>
      </c>
      <c r="M316" t="inlineStr">
        <is>
          <t>In stock</t>
        </is>
      </c>
      <c r="N316" t="inlineStr">
        <is>
          <t>Mobile (travels with robot)</t>
        </is>
      </c>
    </row>
    <row r="317">
      <c r="A317" t="n">
        <v>316</v>
      </c>
      <c r="B317" t="n">
        <v>16</v>
      </c>
      <c r="C317" t="inlineStr">
        <is>
          <t>Mechanical parts</t>
        </is>
      </c>
      <c r="D317" t="inlineStr">
        <is>
          <t>16-A Bolts - M8</t>
        </is>
      </c>
      <c r="E317" s="24" t="inlineStr">
        <is>
          <t>Bolt - Socket Cap (SHCS), M8 x 30 mm</t>
        </is>
      </c>
      <c r="F317" t="inlineStr">
        <is>
          <t>10</t>
        </is>
      </c>
      <c r="G317" s="25" t="inlineStr">
        <is>
          <t>Consumable</t>
        </is>
      </c>
      <c r="H317" s="24" t="inlineStr">
        <is>
          <t>Bulk fastener - consumable-class stock</t>
        </is>
      </c>
      <c r="I317" t="inlineStr">
        <is>
          <t>Kaustubh</t>
        </is>
      </c>
      <c r="J317" t="inlineStr">
        <is>
          <t>India</t>
        </is>
      </c>
      <c r="K317" t="inlineStr">
        <is>
          <t>No</t>
        </is>
      </c>
      <c r="M317" t="inlineStr">
        <is>
          <t>In stock</t>
        </is>
      </c>
      <c r="N317" t="inlineStr">
        <is>
          <t>Mobile (travels with robot)</t>
        </is>
      </c>
    </row>
    <row r="318">
      <c r="A318" t="n">
        <v>317</v>
      </c>
      <c r="B318" t="n">
        <v>16</v>
      </c>
      <c r="C318" t="inlineStr">
        <is>
          <t>Mechanical parts</t>
        </is>
      </c>
      <c r="D318" t="inlineStr">
        <is>
          <t>16-A Bolts - M8</t>
        </is>
      </c>
      <c r="E318" s="24" t="inlineStr">
        <is>
          <t>Bolt - Socket Cap (SHCS), M8 x 35 mm</t>
        </is>
      </c>
      <c r="F318" t="inlineStr">
        <is>
          <t>10</t>
        </is>
      </c>
      <c r="G318" s="25" t="inlineStr">
        <is>
          <t>Consumable</t>
        </is>
      </c>
      <c r="H318" s="24" t="inlineStr">
        <is>
          <t>Bulk fastener - consumable-class stock</t>
        </is>
      </c>
      <c r="I318" t="inlineStr">
        <is>
          <t>Kaustubh</t>
        </is>
      </c>
      <c r="J318" t="inlineStr">
        <is>
          <t>India</t>
        </is>
      </c>
      <c r="K318" t="inlineStr">
        <is>
          <t>No</t>
        </is>
      </c>
      <c r="M318" t="inlineStr">
        <is>
          <t>In stock</t>
        </is>
      </c>
      <c r="N318" t="inlineStr">
        <is>
          <t>Mobile (travels with robot)</t>
        </is>
      </c>
    </row>
    <row r="319">
      <c r="A319" t="n">
        <v>318</v>
      </c>
      <c r="B319" t="n">
        <v>16</v>
      </c>
      <c r="C319" t="inlineStr">
        <is>
          <t>Mechanical parts</t>
        </is>
      </c>
      <c r="D319" t="inlineStr">
        <is>
          <t>16-A Bolts - M8</t>
        </is>
      </c>
      <c r="E319" s="24" t="inlineStr">
        <is>
          <t>Bolt - Socket Cap (SHCS), M8 x 40 mm</t>
        </is>
      </c>
      <c r="F319" t="inlineStr">
        <is>
          <t>10</t>
        </is>
      </c>
      <c r="G319" s="25" t="inlineStr">
        <is>
          <t>Consumable</t>
        </is>
      </c>
      <c r="H319" s="24" t="inlineStr">
        <is>
          <t>Bulk fastener - consumable-class stock</t>
        </is>
      </c>
      <c r="I319" t="inlineStr">
        <is>
          <t>Kaustubh</t>
        </is>
      </c>
      <c r="J319" t="inlineStr">
        <is>
          <t>India</t>
        </is>
      </c>
      <c r="K319" t="inlineStr">
        <is>
          <t>No</t>
        </is>
      </c>
      <c r="M319" t="inlineStr">
        <is>
          <t>In stock</t>
        </is>
      </c>
      <c r="N319" t="inlineStr">
        <is>
          <t>Mobile (travels with robot)</t>
        </is>
      </c>
    </row>
    <row r="320">
      <c r="A320" t="n">
        <v>319</v>
      </c>
      <c r="B320" t="n">
        <v>16</v>
      </c>
      <c r="C320" t="inlineStr">
        <is>
          <t>Mechanical parts</t>
        </is>
      </c>
      <c r="D320" t="inlineStr">
        <is>
          <t>16-A Bolts - M8</t>
        </is>
      </c>
      <c r="E320" s="24" t="inlineStr">
        <is>
          <t>Bolt - Socket Cap (SHCS), M8 x 50 mm</t>
        </is>
      </c>
      <c r="F320" t="inlineStr">
        <is>
          <t>10</t>
        </is>
      </c>
      <c r="G320" s="25" t="inlineStr">
        <is>
          <t>Consumable</t>
        </is>
      </c>
      <c r="H320" s="24" t="inlineStr">
        <is>
          <t>Bulk fastener - consumable-class stock</t>
        </is>
      </c>
      <c r="I320" t="inlineStr">
        <is>
          <t>Kaustubh</t>
        </is>
      </c>
      <c r="J320" t="inlineStr">
        <is>
          <t>India</t>
        </is>
      </c>
      <c r="K320" t="inlineStr">
        <is>
          <t>No</t>
        </is>
      </c>
      <c r="M320" t="inlineStr">
        <is>
          <t>In stock</t>
        </is>
      </c>
      <c r="N320" t="inlineStr">
        <is>
          <t>Mobile (travels with robot)</t>
        </is>
      </c>
    </row>
    <row r="321">
      <c r="A321" t="n">
        <v>320</v>
      </c>
      <c r="B321" t="n">
        <v>16</v>
      </c>
      <c r="C321" t="inlineStr">
        <is>
          <t>Mechanical parts</t>
        </is>
      </c>
      <c r="D321" t="inlineStr">
        <is>
          <t>16-A Bolts - M8</t>
        </is>
      </c>
      <c r="E321" s="24" t="inlineStr">
        <is>
          <t>Bolt - Socket Cap (SHCS), M8 x 60 mm</t>
        </is>
      </c>
      <c r="F321" t="inlineStr">
        <is>
          <t>10</t>
        </is>
      </c>
      <c r="G321" s="25" t="inlineStr">
        <is>
          <t>Consumable</t>
        </is>
      </c>
      <c r="H321" s="24" t="inlineStr">
        <is>
          <t>Bulk fastener - consumable-class stock</t>
        </is>
      </c>
      <c r="I321" t="inlineStr">
        <is>
          <t>Kaustubh</t>
        </is>
      </c>
      <c r="J321" t="inlineStr">
        <is>
          <t>India</t>
        </is>
      </c>
      <c r="K321" t="inlineStr">
        <is>
          <t>No</t>
        </is>
      </c>
      <c r="M321" t="inlineStr">
        <is>
          <t>In stock</t>
        </is>
      </c>
      <c r="N321" t="inlineStr">
        <is>
          <t>Mobile (travels with robot)</t>
        </is>
      </c>
    </row>
    <row r="322">
      <c r="A322" t="n">
        <v>321</v>
      </c>
      <c r="B322" t="n">
        <v>16</v>
      </c>
      <c r="C322" t="inlineStr">
        <is>
          <t>Mechanical parts</t>
        </is>
      </c>
      <c r="D322" t="inlineStr">
        <is>
          <t>16-A Bolts - M8</t>
        </is>
      </c>
      <c r="E322" s="24" t="inlineStr">
        <is>
          <t>Bolt - Socket Cap (SHCS), M8 x 70 mm</t>
        </is>
      </c>
      <c r="F322" t="inlineStr">
        <is>
          <t>10</t>
        </is>
      </c>
      <c r="G322" s="25" t="inlineStr">
        <is>
          <t>Consumable</t>
        </is>
      </c>
      <c r="H322" s="24" t="inlineStr">
        <is>
          <t>Bulk fastener - consumable-class stock</t>
        </is>
      </c>
      <c r="I322" t="inlineStr">
        <is>
          <t>Kaustubh</t>
        </is>
      </c>
      <c r="J322" t="inlineStr">
        <is>
          <t>India</t>
        </is>
      </c>
      <c r="K322" t="inlineStr">
        <is>
          <t>No</t>
        </is>
      </c>
      <c r="M322" t="inlineStr">
        <is>
          <t>In stock</t>
        </is>
      </c>
      <c r="N322" t="inlineStr">
        <is>
          <t>Mobile (travels with robot)</t>
        </is>
      </c>
    </row>
    <row r="323">
      <c r="A323" t="n">
        <v>322</v>
      </c>
      <c r="B323" t="n">
        <v>16</v>
      </c>
      <c r="C323" t="inlineStr">
        <is>
          <t>Mechanical parts</t>
        </is>
      </c>
      <c r="D323" t="inlineStr">
        <is>
          <t>16-A Bolts - M8</t>
        </is>
      </c>
      <c r="E323" s="24" t="inlineStr">
        <is>
          <t>Bolt - Socket Cap (SHCS), M8 x 80 mm</t>
        </is>
      </c>
      <c r="F323" t="inlineStr">
        <is>
          <t>10</t>
        </is>
      </c>
      <c r="G323" s="25" t="inlineStr">
        <is>
          <t>Consumable</t>
        </is>
      </c>
      <c r="H323" s="24" t="inlineStr">
        <is>
          <t>Bulk fastener - consumable-class stock</t>
        </is>
      </c>
      <c r="I323" t="inlineStr">
        <is>
          <t>Kaustubh</t>
        </is>
      </c>
      <c r="J323" t="inlineStr">
        <is>
          <t>India</t>
        </is>
      </c>
      <c r="K323" t="inlineStr">
        <is>
          <t>No</t>
        </is>
      </c>
      <c r="M323" t="inlineStr">
        <is>
          <t>In stock</t>
        </is>
      </c>
      <c r="N323" t="inlineStr">
        <is>
          <t>Mobile (travels with robot)</t>
        </is>
      </c>
    </row>
    <row r="324">
      <c r="A324" t="n">
        <v>323</v>
      </c>
      <c r="B324" t="n">
        <v>16</v>
      </c>
      <c r="C324" t="inlineStr">
        <is>
          <t>Mechanical parts</t>
        </is>
      </c>
      <c r="D324" t="inlineStr">
        <is>
          <t>16-A Bolts - M8</t>
        </is>
      </c>
      <c r="E324" s="24" t="inlineStr">
        <is>
          <t>Bolt - Countersunk (CSK), M8 x 12 mm</t>
        </is>
      </c>
      <c r="F324" t="inlineStr">
        <is>
          <t>10</t>
        </is>
      </c>
      <c r="G324" s="25" t="inlineStr">
        <is>
          <t>Consumable</t>
        </is>
      </c>
      <c r="H324" s="24" t="inlineStr">
        <is>
          <t>Bulk fastener - consumable-class stock</t>
        </is>
      </c>
      <c r="I324" t="inlineStr">
        <is>
          <t>Kaustubh</t>
        </is>
      </c>
      <c r="J324" t="inlineStr">
        <is>
          <t>India</t>
        </is>
      </c>
      <c r="K324" t="inlineStr">
        <is>
          <t>No</t>
        </is>
      </c>
      <c r="M324" t="inlineStr">
        <is>
          <t>In stock</t>
        </is>
      </c>
      <c r="N324" t="inlineStr">
        <is>
          <t>Mobile (travels with robot)</t>
        </is>
      </c>
    </row>
    <row r="325">
      <c r="A325" t="n">
        <v>324</v>
      </c>
      <c r="B325" t="n">
        <v>16</v>
      </c>
      <c r="C325" t="inlineStr">
        <is>
          <t>Mechanical parts</t>
        </is>
      </c>
      <c r="D325" t="inlineStr">
        <is>
          <t>16-A Bolts - M8</t>
        </is>
      </c>
      <c r="E325" s="24" t="inlineStr">
        <is>
          <t>Bolt - Countersunk (CSK), M8 x 16 mm</t>
        </is>
      </c>
      <c r="F325" t="inlineStr">
        <is>
          <t>10</t>
        </is>
      </c>
      <c r="G325" s="25" t="inlineStr">
        <is>
          <t>Consumable</t>
        </is>
      </c>
      <c r="H325" s="24" t="inlineStr">
        <is>
          <t>Bulk fastener - consumable-class stock</t>
        </is>
      </c>
      <c r="I325" t="inlineStr">
        <is>
          <t>Kaustubh</t>
        </is>
      </c>
      <c r="J325" t="inlineStr">
        <is>
          <t>India</t>
        </is>
      </c>
      <c r="K325" t="inlineStr">
        <is>
          <t>No</t>
        </is>
      </c>
      <c r="M325" t="inlineStr">
        <is>
          <t>In stock</t>
        </is>
      </c>
      <c r="N325" t="inlineStr">
        <is>
          <t>Mobile (travels with robot)</t>
        </is>
      </c>
    </row>
    <row r="326">
      <c r="A326" t="n">
        <v>325</v>
      </c>
      <c r="B326" t="n">
        <v>16</v>
      </c>
      <c r="C326" t="inlineStr">
        <is>
          <t>Mechanical parts</t>
        </is>
      </c>
      <c r="D326" t="inlineStr">
        <is>
          <t>16-A Bolts - M8</t>
        </is>
      </c>
      <c r="E326" s="24" t="inlineStr">
        <is>
          <t>Bolt - Buttonhead(BHCS), M8 x 12 mm</t>
        </is>
      </c>
      <c r="F326" t="inlineStr">
        <is>
          <t>10.0</t>
        </is>
      </c>
      <c r="G326" s="25" t="inlineStr">
        <is>
          <t>Consumable</t>
        </is>
      </c>
      <c r="H326" s="24" t="inlineStr">
        <is>
          <t>Bulk fastener - consumable-class stock</t>
        </is>
      </c>
      <c r="I326" t="inlineStr">
        <is>
          <t>Kaustubh</t>
        </is>
      </c>
      <c r="J326" t="inlineStr">
        <is>
          <t>India</t>
        </is>
      </c>
      <c r="K326" t="inlineStr">
        <is>
          <t>No</t>
        </is>
      </c>
      <c r="M326" t="inlineStr">
        <is>
          <t>In stock</t>
        </is>
      </c>
    </row>
    <row r="327">
      <c r="A327" t="n">
        <v>326</v>
      </c>
      <c r="B327" t="n">
        <v>16</v>
      </c>
      <c r="C327" t="inlineStr">
        <is>
          <t>Mechanical parts</t>
        </is>
      </c>
      <c r="D327" t="inlineStr">
        <is>
          <t>16-B Nuts</t>
        </is>
      </c>
      <c r="E327" s="24" t="inlineStr">
        <is>
          <t>Nut - Hex, M2</t>
        </is>
      </c>
      <c r="F327" t="inlineStr">
        <is>
          <t>20.0</t>
        </is>
      </c>
      <c r="G327" s="25" t="inlineStr">
        <is>
          <t>Consumable</t>
        </is>
      </c>
      <c r="H327" s="24" t="inlineStr">
        <is>
          <t>Bulk fastener - consumable-class stock</t>
        </is>
      </c>
      <c r="I327" t="inlineStr">
        <is>
          <t>Kaustubh</t>
        </is>
      </c>
      <c r="J327" t="inlineStr">
        <is>
          <t>India</t>
        </is>
      </c>
      <c r="K327" t="inlineStr">
        <is>
          <t>No</t>
        </is>
      </c>
      <c r="M327" t="inlineStr">
        <is>
          <t>In stock</t>
        </is>
      </c>
      <c r="N327" t="inlineStr">
        <is>
          <t>Mobile (travels with robot)</t>
        </is>
      </c>
    </row>
    <row r="328">
      <c r="A328" t="n">
        <v>327</v>
      </c>
      <c r="B328" t="n">
        <v>16</v>
      </c>
      <c r="C328" t="inlineStr">
        <is>
          <t>Mechanical parts</t>
        </is>
      </c>
      <c r="D328" t="inlineStr">
        <is>
          <t>16-B Nuts</t>
        </is>
      </c>
      <c r="E328" s="24" t="inlineStr">
        <is>
          <t>Nut - Hex, M3</t>
        </is>
      </c>
      <c r="F328" t="inlineStr">
        <is>
          <t>20.0</t>
        </is>
      </c>
      <c r="G328" s="25" t="inlineStr">
        <is>
          <t>Consumable</t>
        </is>
      </c>
      <c r="H328" s="24" t="inlineStr">
        <is>
          <t>Bulk fastener - consumable-class stock</t>
        </is>
      </c>
      <c r="I328" t="inlineStr">
        <is>
          <t>Kaustubh</t>
        </is>
      </c>
      <c r="J328" t="inlineStr">
        <is>
          <t>India</t>
        </is>
      </c>
      <c r="K328" t="inlineStr">
        <is>
          <t>No</t>
        </is>
      </c>
      <c r="M328" t="inlineStr">
        <is>
          <t>In stock</t>
        </is>
      </c>
      <c r="N328" t="inlineStr">
        <is>
          <t>Mobile (travels with robot)</t>
        </is>
      </c>
    </row>
    <row r="329">
      <c r="A329" t="n">
        <v>328</v>
      </c>
      <c r="B329" t="n">
        <v>16</v>
      </c>
      <c r="C329" t="inlineStr">
        <is>
          <t>Mechanical parts</t>
        </is>
      </c>
      <c r="D329" t="inlineStr">
        <is>
          <t>16-B Nuts</t>
        </is>
      </c>
      <c r="E329" s="24" t="inlineStr">
        <is>
          <t>Nut - Hex, M4</t>
        </is>
      </c>
      <c r="F329" t="inlineStr">
        <is>
          <t>20.0</t>
        </is>
      </c>
      <c r="G329" s="25" t="inlineStr">
        <is>
          <t>Consumable</t>
        </is>
      </c>
      <c r="H329" s="24" t="inlineStr">
        <is>
          <t>Bulk fastener - consumable-class stock</t>
        </is>
      </c>
      <c r="I329" t="inlineStr">
        <is>
          <t>Kaustubh</t>
        </is>
      </c>
      <c r="J329" t="inlineStr">
        <is>
          <t>India</t>
        </is>
      </c>
      <c r="K329" t="inlineStr">
        <is>
          <t>No</t>
        </is>
      </c>
      <c r="M329" t="inlineStr">
        <is>
          <t>In stock</t>
        </is>
      </c>
      <c r="N329" t="inlineStr">
        <is>
          <t>Mobile (travels with robot)</t>
        </is>
      </c>
    </row>
    <row r="330">
      <c r="A330" t="n">
        <v>329</v>
      </c>
      <c r="B330" t="n">
        <v>16</v>
      </c>
      <c r="C330" t="inlineStr">
        <is>
          <t>Mechanical parts</t>
        </is>
      </c>
      <c r="D330" t="inlineStr">
        <is>
          <t>16-B Nuts</t>
        </is>
      </c>
      <c r="E330" s="24" t="inlineStr">
        <is>
          <t>Nut - Hex, M5</t>
        </is>
      </c>
      <c r="F330" t="inlineStr">
        <is>
          <t>20.0</t>
        </is>
      </c>
      <c r="G330" s="25" t="inlineStr">
        <is>
          <t>Consumable</t>
        </is>
      </c>
      <c r="H330" s="24" t="inlineStr">
        <is>
          <t>Bulk fastener - consumable-class stock</t>
        </is>
      </c>
      <c r="I330" t="inlineStr">
        <is>
          <t>Kaustubh</t>
        </is>
      </c>
      <c r="J330" t="inlineStr">
        <is>
          <t>India</t>
        </is>
      </c>
      <c r="K330" t="inlineStr">
        <is>
          <t>No</t>
        </is>
      </c>
      <c r="M330" t="inlineStr">
        <is>
          <t>In stock</t>
        </is>
      </c>
      <c r="N330" t="inlineStr">
        <is>
          <t>Mobile (travels with robot)</t>
        </is>
      </c>
    </row>
    <row r="331">
      <c r="A331" t="n">
        <v>330</v>
      </c>
      <c r="B331" t="n">
        <v>16</v>
      </c>
      <c r="C331" t="inlineStr">
        <is>
          <t>Mechanical parts</t>
        </is>
      </c>
      <c r="D331" t="inlineStr">
        <is>
          <t>16-B Nuts</t>
        </is>
      </c>
      <c r="E331" s="24" t="inlineStr">
        <is>
          <t>Nut - Hex, M6</t>
        </is>
      </c>
      <c r="F331" t="inlineStr">
        <is>
          <t>20.0</t>
        </is>
      </c>
      <c r="G331" s="25" t="inlineStr">
        <is>
          <t>Consumable</t>
        </is>
      </c>
      <c r="H331" s="24" t="inlineStr">
        <is>
          <t>Bulk fastener - consumable-class stock</t>
        </is>
      </c>
      <c r="I331" t="inlineStr">
        <is>
          <t>Kaustubh</t>
        </is>
      </c>
      <c r="J331" t="inlineStr">
        <is>
          <t>India</t>
        </is>
      </c>
      <c r="K331" t="inlineStr">
        <is>
          <t>No</t>
        </is>
      </c>
      <c r="M331" t="inlineStr">
        <is>
          <t>In stock</t>
        </is>
      </c>
      <c r="N331" t="inlineStr">
        <is>
          <t>Mobile (travels with robot)</t>
        </is>
      </c>
    </row>
    <row r="332">
      <c r="A332" t="n">
        <v>331</v>
      </c>
      <c r="B332" t="n">
        <v>16</v>
      </c>
      <c r="C332" t="inlineStr">
        <is>
          <t>Mechanical parts</t>
        </is>
      </c>
      <c r="D332" t="inlineStr">
        <is>
          <t>16-B Nuts</t>
        </is>
      </c>
      <c r="E332" s="24" t="inlineStr">
        <is>
          <t>Nut - Hex, M8</t>
        </is>
      </c>
      <c r="F332" t="inlineStr">
        <is>
          <t>20.0</t>
        </is>
      </c>
      <c r="G332" s="25" t="inlineStr">
        <is>
          <t>Consumable</t>
        </is>
      </c>
      <c r="H332" s="24" t="inlineStr">
        <is>
          <t>Bulk fastener - consumable-class stock</t>
        </is>
      </c>
      <c r="I332" t="inlineStr">
        <is>
          <t>Kaustubh</t>
        </is>
      </c>
      <c r="J332" t="inlineStr">
        <is>
          <t>India</t>
        </is>
      </c>
      <c r="K332" t="inlineStr">
        <is>
          <t>No</t>
        </is>
      </c>
      <c r="M332" t="inlineStr">
        <is>
          <t>In stock</t>
        </is>
      </c>
      <c r="N332" t="inlineStr">
        <is>
          <t>Mobile (travels with robot)</t>
        </is>
      </c>
    </row>
    <row r="333">
      <c r="A333" t="n">
        <v>332</v>
      </c>
      <c r="B333" t="n">
        <v>16</v>
      </c>
      <c r="C333" t="inlineStr">
        <is>
          <t>Mechanical parts</t>
        </is>
      </c>
      <c r="D333" t="inlineStr">
        <is>
          <t>16-B Nuts</t>
        </is>
      </c>
      <c r="E333" s="24" t="inlineStr">
        <is>
          <t>Nut - Hex, M10</t>
        </is>
      </c>
      <c r="F333" t="inlineStr">
        <is>
          <t>20.0</t>
        </is>
      </c>
      <c r="G333" s="25" t="inlineStr">
        <is>
          <t>Consumable</t>
        </is>
      </c>
      <c r="H333" s="24" t="inlineStr">
        <is>
          <t>Bulk fastener - consumable-class stock</t>
        </is>
      </c>
      <c r="I333" t="inlineStr">
        <is>
          <t>Kaustubh</t>
        </is>
      </c>
      <c r="J333" t="inlineStr">
        <is>
          <t>India</t>
        </is>
      </c>
      <c r="K333" t="inlineStr">
        <is>
          <t>No</t>
        </is>
      </c>
      <c r="M333" t="inlineStr">
        <is>
          <t>In stock</t>
        </is>
      </c>
      <c r="N333" t="inlineStr">
        <is>
          <t>Mobile (travels with robot)</t>
        </is>
      </c>
    </row>
    <row r="334">
      <c r="A334" t="n">
        <v>333</v>
      </c>
      <c r="B334" t="n">
        <v>16</v>
      </c>
      <c r="C334" t="inlineStr">
        <is>
          <t>Mechanical parts</t>
        </is>
      </c>
      <c r="D334" t="inlineStr">
        <is>
          <t>16-B Nuts</t>
        </is>
      </c>
      <c r="E334" s="24" t="inlineStr">
        <is>
          <t>Nut - Nylon Lock, M2</t>
        </is>
      </c>
      <c r="F334" t="inlineStr">
        <is>
          <t>20.0</t>
        </is>
      </c>
      <c r="G334" s="25" t="inlineStr">
        <is>
          <t>Consumable</t>
        </is>
      </c>
      <c r="H334" s="24" t="inlineStr">
        <is>
          <t>Bulk fastener - consumable-class stock</t>
        </is>
      </c>
      <c r="I334" t="inlineStr">
        <is>
          <t>Kaustubh</t>
        </is>
      </c>
      <c r="J334" t="inlineStr">
        <is>
          <t>India</t>
        </is>
      </c>
      <c r="K334" t="inlineStr">
        <is>
          <t>No</t>
        </is>
      </c>
      <c r="M334" t="inlineStr">
        <is>
          <t>In stock</t>
        </is>
      </c>
      <c r="N334" t="inlineStr">
        <is>
          <t>Mobile (travels with robot)</t>
        </is>
      </c>
    </row>
    <row r="335">
      <c r="A335" t="n">
        <v>334</v>
      </c>
      <c r="B335" t="n">
        <v>16</v>
      </c>
      <c r="C335" t="inlineStr">
        <is>
          <t>Mechanical parts</t>
        </is>
      </c>
      <c r="D335" t="inlineStr">
        <is>
          <t>16-B Nuts</t>
        </is>
      </c>
      <c r="E335" s="24" t="inlineStr">
        <is>
          <t>Nut - Nylon Lock, M3</t>
        </is>
      </c>
      <c r="F335" t="inlineStr">
        <is>
          <t>20.0</t>
        </is>
      </c>
      <c r="G335" s="25" t="inlineStr">
        <is>
          <t>Consumable</t>
        </is>
      </c>
      <c r="H335" s="24" t="inlineStr">
        <is>
          <t>Bulk fastener - consumable-class stock</t>
        </is>
      </c>
      <c r="I335" t="inlineStr">
        <is>
          <t>Kaustubh</t>
        </is>
      </c>
      <c r="J335" t="inlineStr">
        <is>
          <t>India</t>
        </is>
      </c>
      <c r="K335" t="inlineStr">
        <is>
          <t>No</t>
        </is>
      </c>
      <c r="M335" t="inlineStr">
        <is>
          <t>In stock</t>
        </is>
      </c>
      <c r="N335" t="inlineStr">
        <is>
          <t>Mobile (travels with robot)</t>
        </is>
      </c>
    </row>
    <row r="336">
      <c r="A336" t="n">
        <v>335</v>
      </c>
      <c r="B336" t="n">
        <v>16</v>
      </c>
      <c r="C336" t="inlineStr">
        <is>
          <t>Mechanical parts</t>
        </is>
      </c>
      <c r="D336" t="inlineStr">
        <is>
          <t>16-B Nuts</t>
        </is>
      </c>
      <c r="E336" s="24" t="inlineStr">
        <is>
          <t>Nut - Nylon Lock, M4</t>
        </is>
      </c>
      <c r="F336" t="inlineStr">
        <is>
          <t>20.0</t>
        </is>
      </c>
      <c r="G336" s="25" t="inlineStr">
        <is>
          <t>Consumable</t>
        </is>
      </c>
      <c r="H336" s="24" t="inlineStr">
        <is>
          <t>Bulk fastener - consumable-class stock</t>
        </is>
      </c>
      <c r="I336" t="inlineStr">
        <is>
          <t>Kaustubh</t>
        </is>
      </c>
      <c r="J336" t="inlineStr">
        <is>
          <t>India</t>
        </is>
      </c>
      <c r="K336" t="inlineStr">
        <is>
          <t>No</t>
        </is>
      </c>
      <c r="L336" t="inlineStr">
        <is>
          <t>PR-2026-1677</t>
        </is>
      </c>
      <c r="M336" t="inlineStr">
        <is>
          <t>PR Raised</t>
        </is>
      </c>
      <c r="N336" t="inlineStr">
        <is>
          <t>Mobile (travels with robot)</t>
        </is>
      </c>
    </row>
    <row r="337">
      <c r="A337" t="n">
        <v>336</v>
      </c>
      <c r="B337" t="n">
        <v>16</v>
      </c>
      <c r="C337" t="inlineStr">
        <is>
          <t>Mechanical parts</t>
        </is>
      </c>
      <c r="D337" t="inlineStr">
        <is>
          <t>16-B Nuts</t>
        </is>
      </c>
      <c r="E337" s="24" t="inlineStr">
        <is>
          <t>Nut - Nylon Lock, M5</t>
        </is>
      </c>
      <c r="F337" t="inlineStr">
        <is>
          <t>20.0</t>
        </is>
      </c>
      <c r="G337" s="25" t="inlineStr">
        <is>
          <t>Consumable</t>
        </is>
      </c>
      <c r="H337" s="24" t="inlineStr">
        <is>
          <t>Bulk fastener - consumable-class stock</t>
        </is>
      </c>
      <c r="I337" t="inlineStr">
        <is>
          <t>Kaustubh</t>
        </is>
      </c>
      <c r="J337" t="inlineStr">
        <is>
          <t>India</t>
        </is>
      </c>
      <c r="K337" t="inlineStr">
        <is>
          <t>No</t>
        </is>
      </c>
      <c r="M337" t="inlineStr">
        <is>
          <t>In stock</t>
        </is>
      </c>
      <c r="N337" t="inlineStr">
        <is>
          <t>Mobile (travels with robot)</t>
        </is>
      </c>
    </row>
    <row r="338">
      <c r="A338" t="n">
        <v>337</v>
      </c>
      <c r="B338" t="n">
        <v>16</v>
      </c>
      <c r="C338" t="inlineStr">
        <is>
          <t>Mechanical parts</t>
        </is>
      </c>
      <c r="D338" t="inlineStr">
        <is>
          <t>16-B Nuts</t>
        </is>
      </c>
      <c r="E338" s="24" t="inlineStr">
        <is>
          <t>Nut - Nylon Lock, M6</t>
        </is>
      </c>
      <c r="F338" t="inlineStr">
        <is>
          <t>20.0</t>
        </is>
      </c>
      <c r="G338" s="25" t="inlineStr">
        <is>
          <t>Consumable</t>
        </is>
      </c>
      <c r="H338" s="24" t="inlineStr">
        <is>
          <t>Bulk fastener - consumable-class stock</t>
        </is>
      </c>
      <c r="I338" t="inlineStr">
        <is>
          <t>Kaustubh</t>
        </is>
      </c>
      <c r="J338" t="inlineStr">
        <is>
          <t>India</t>
        </is>
      </c>
      <c r="K338" t="inlineStr">
        <is>
          <t>No</t>
        </is>
      </c>
      <c r="M338" t="inlineStr">
        <is>
          <t>In stock</t>
        </is>
      </c>
      <c r="N338" t="inlineStr">
        <is>
          <t>Mobile (travels with robot)</t>
        </is>
      </c>
    </row>
    <row r="339">
      <c r="A339" t="n">
        <v>338</v>
      </c>
      <c r="B339" t="n">
        <v>16</v>
      </c>
      <c r="C339" t="inlineStr">
        <is>
          <t>Mechanical parts</t>
        </is>
      </c>
      <c r="D339" t="inlineStr">
        <is>
          <t>16-B Nuts</t>
        </is>
      </c>
      <c r="E339" s="24" t="inlineStr">
        <is>
          <t>Nut - Nylon Lock, M8</t>
        </is>
      </c>
      <c r="F339" t="inlineStr">
        <is>
          <t>20.0</t>
        </is>
      </c>
      <c r="G339" s="25" t="inlineStr">
        <is>
          <t>Consumable</t>
        </is>
      </c>
      <c r="H339" s="24" t="inlineStr">
        <is>
          <t>Bulk fastener - consumable-class stock</t>
        </is>
      </c>
      <c r="I339" t="inlineStr">
        <is>
          <t>Kaustubh</t>
        </is>
      </c>
      <c r="J339" t="inlineStr">
        <is>
          <t>India</t>
        </is>
      </c>
      <c r="K339" t="inlineStr">
        <is>
          <t>No</t>
        </is>
      </c>
      <c r="M339" t="inlineStr">
        <is>
          <t>In stock</t>
        </is>
      </c>
      <c r="N339" t="inlineStr">
        <is>
          <t>Mobile (travels with robot)</t>
        </is>
      </c>
    </row>
    <row r="340">
      <c r="A340" t="n">
        <v>339</v>
      </c>
      <c r="B340" t="n">
        <v>16</v>
      </c>
      <c r="C340" t="inlineStr">
        <is>
          <t>Mechanical parts</t>
        </is>
      </c>
      <c r="D340" t="inlineStr">
        <is>
          <t>16-B Nuts</t>
        </is>
      </c>
      <c r="E340" s="24" t="inlineStr">
        <is>
          <t>Nut - Nylon Lock, M10</t>
        </is>
      </c>
      <c r="F340" t="inlineStr">
        <is>
          <t>20.0</t>
        </is>
      </c>
      <c r="G340" s="25" t="inlineStr">
        <is>
          <t>Consumable</t>
        </is>
      </c>
      <c r="H340" s="24" t="inlineStr">
        <is>
          <t>Bulk fastener - consumable-class stock</t>
        </is>
      </c>
      <c r="I340" t="inlineStr">
        <is>
          <t>Kaustubh</t>
        </is>
      </c>
      <c r="J340" t="inlineStr">
        <is>
          <t>India</t>
        </is>
      </c>
      <c r="K340" t="inlineStr">
        <is>
          <t>No</t>
        </is>
      </c>
      <c r="M340" t="inlineStr">
        <is>
          <t>In stock</t>
        </is>
      </c>
      <c r="N340" t="inlineStr">
        <is>
          <t>Mobile (travels with robot)</t>
        </is>
      </c>
    </row>
    <row r="341">
      <c r="A341" t="n">
        <v>340</v>
      </c>
      <c r="B341" t="n">
        <v>16</v>
      </c>
      <c r="C341" t="inlineStr">
        <is>
          <t>Mechanical parts</t>
        </is>
      </c>
      <c r="D341" t="inlineStr">
        <is>
          <t>16-C Washers</t>
        </is>
      </c>
      <c r="E341" s="24" t="inlineStr">
        <is>
          <t>Washer - Flat, M2</t>
        </is>
      </c>
      <c r="F341" t="inlineStr">
        <is>
          <t>20.0</t>
        </is>
      </c>
      <c r="G341" s="25" t="inlineStr">
        <is>
          <t>Consumable</t>
        </is>
      </c>
      <c r="H341" s="24" t="inlineStr">
        <is>
          <t>Bulk fastener - consumable-class stock</t>
        </is>
      </c>
      <c r="I341" t="inlineStr">
        <is>
          <t>Kaustubh</t>
        </is>
      </c>
      <c r="J341" t="inlineStr">
        <is>
          <t>India</t>
        </is>
      </c>
      <c r="K341" t="inlineStr">
        <is>
          <t>No</t>
        </is>
      </c>
      <c r="L341" t="inlineStr">
        <is>
          <t>PR-2026-1677</t>
        </is>
      </c>
      <c r="M341" t="inlineStr">
        <is>
          <t>PR Raised</t>
        </is>
      </c>
      <c r="N341" t="inlineStr">
        <is>
          <t>Mobile (travels with robot)</t>
        </is>
      </c>
    </row>
    <row r="342">
      <c r="A342" t="n">
        <v>341</v>
      </c>
      <c r="B342" t="n">
        <v>16</v>
      </c>
      <c r="C342" t="inlineStr">
        <is>
          <t>Mechanical parts</t>
        </is>
      </c>
      <c r="D342" t="inlineStr">
        <is>
          <t>16-C Washers</t>
        </is>
      </c>
      <c r="E342" s="24" t="inlineStr">
        <is>
          <t>Washer - Flat, M3</t>
        </is>
      </c>
      <c r="F342" t="inlineStr">
        <is>
          <t>20.0</t>
        </is>
      </c>
      <c r="G342" s="25" t="inlineStr">
        <is>
          <t>Consumable</t>
        </is>
      </c>
      <c r="H342" s="24" t="inlineStr">
        <is>
          <t>Bulk fastener - consumable-class stock</t>
        </is>
      </c>
      <c r="I342" t="inlineStr">
        <is>
          <t>Kaustubh</t>
        </is>
      </c>
      <c r="J342" t="inlineStr">
        <is>
          <t>India</t>
        </is>
      </c>
      <c r="K342" t="inlineStr">
        <is>
          <t>No</t>
        </is>
      </c>
      <c r="M342" t="inlineStr">
        <is>
          <t>In stock</t>
        </is>
      </c>
      <c r="N342" t="inlineStr">
        <is>
          <t>Mobile (travels with robot)</t>
        </is>
      </c>
    </row>
    <row r="343">
      <c r="A343" t="n">
        <v>342</v>
      </c>
      <c r="B343" t="n">
        <v>16</v>
      </c>
      <c r="C343" t="inlineStr">
        <is>
          <t>Mechanical parts</t>
        </is>
      </c>
      <c r="D343" t="inlineStr">
        <is>
          <t>16-C Washers</t>
        </is>
      </c>
      <c r="E343" s="24" t="inlineStr">
        <is>
          <t>Washer - Flat, M4</t>
        </is>
      </c>
      <c r="F343" t="inlineStr">
        <is>
          <t>20.0</t>
        </is>
      </c>
      <c r="G343" s="25" t="inlineStr">
        <is>
          <t>Consumable</t>
        </is>
      </c>
      <c r="H343" s="24" t="inlineStr">
        <is>
          <t>Bulk fastener - consumable-class stock</t>
        </is>
      </c>
      <c r="I343" t="inlineStr">
        <is>
          <t>Kaustubh</t>
        </is>
      </c>
      <c r="J343" t="inlineStr">
        <is>
          <t>India</t>
        </is>
      </c>
      <c r="K343" t="inlineStr">
        <is>
          <t>No</t>
        </is>
      </c>
      <c r="M343" t="inlineStr">
        <is>
          <t>In stock</t>
        </is>
      </c>
      <c r="N343" t="inlineStr">
        <is>
          <t>Mobile (travels with robot)</t>
        </is>
      </c>
    </row>
    <row r="344">
      <c r="A344" t="n">
        <v>343</v>
      </c>
      <c r="B344" t="n">
        <v>16</v>
      </c>
      <c r="C344" t="inlineStr">
        <is>
          <t>Mechanical parts</t>
        </is>
      </c>
      <c r="D344" t="inlineStr">
        <is>
          <t>16-C Washers</t>
        </is>
      </c>
      <c r="E344" s="24" t="inlineStr">
        <is>
          <t>Washer - Flat, M5</t>
        </is>
      </c>
      <c r="F344" t="inlineStr">
        <is>
          <t>20.0</t>
        </is>
      </c>
      <c r="G344" s="25" t="inlineStr">
        <is>
          <t>Consumable</t>
        </is>
      </c>
      <c r="H344" s="24" t="inlineStr">
        <is>
          <t>Bulk fastener - consumable-class stock</t>
        </is>
      </c>
      <c r="I344" t="inlineStr">
        <is>
          <t>Kaustubh</t>
        </is>
      </c>
      <c r="J344" t="inlineStr">
        <is>
          <t>India</t>
        </is>
      </c>
      <c r="K344" t="inlineStr">
        <is>
          <t>No</t>
        </is>
      </c>
      <c r="L344" t="inlineStr">
        <is>
          <t>PR-2026-1677</t>
        </is>
      </c>
      <c r="M344" t="inlineStr">
        <is>
          <t>PR Raised</t>
        </is>
      </c>
      <c r="N344" t="inlineStr">
        <is>
          <t>Mobile (travels with robot)</t>
        </is>
      </c>
    </row>
    <row r="345">
      <c r="A345" t="n">
        <v>344</v>
      </c>
      <c r="B345" t="n">
        <v>16</v>
      </c>
      <c r="C345" t="inlineStr">
        <is>
          <t>Mechanical parts</t>
        </is>
      </c>
      <c r="D345" t="inlineStr">
        <is>
          <t>16-C Washers</t>
        </is>
      </c>
      <c r="E345" s="24" t="inlineStr">
        <is>
          <t>Washer - Flat, M6</t>
        </is>
      </c>
      <c r="F345" t="inlineStr">
        <is>
          <t>20.0</t>
        </is>
      </c>
      <c r="G345" s="25" t="inlineStr">
        <is>
          <t>Consumable</t>
        </is>
      </c>
      <c r="H345" s="24" t="inlineStr">
        <is>
          <t>Bulk fastener - consumable-class stock</t>
        </is>
      </c>
      <c r="I345" t="inlineStr">
        <is>
          <t>Kaustubh</t>
        </is>
      </c>
      <c r="J345" t="inlineStr">
        <is>
          <t>India</t>
        </is>
      </c>
      <c r="K345" t="inlineStr">
        <is>
          <t>No</t>
        </is>
      </c>
      <c r="L345" t="inlineStr">
        <is>
          <t>PR-2026-1677</t>
        </is>
      </c>
      <c r="M345" t="inlineStr">
        <is>
          <t>PR Raised</t>
        </is>
      </c>
      <c r="N345" t="inlineStr">
        <is>
          <t>Mobile (travels with robot)</t>
        </is>
      </c>
    </row>
    <row r="346">
      <c r="A346" t="n">
        <v>345</v>
      </c>
      <c r="B346" t="n">
        <v>16</v>
      </c>
      <c r="C346" t="inlineStr">
        <is>
          <t>Mechanical parts</t>
        </is>
      </c>
      <c r="D346" t="inlineStr">
        <is>
          <t>16-C Washers</t>
        </is>
      </c>
      <c r="E346" s="24" t="inlineStr">
        <is>
          <t>Washer - Flat, M8</t>
        </is>
      </c>
      <c r="F346" t="inlineStr">
        <is>
          <t>20.0</t>
        </is>
      </c>
      <c r="G346" s="25" t="inlineStr">
        <is>
          <t>Consumable</t>
        </is>
      </c>
      <c r="H346" s="24" t="inlineStr">
        <is>
          <t>Bulk fastener - consumable-class stock</t>
        </is>
      </c>
      <c r="I346" t="inlineStr">
        <is>
          <t>Kaustubh</t>
        </is>
      </c>
      <c r="J346" t="inlineStr">
        <is>
          <t>India</t>
        </is>
      </c>
      <c r="K346" t="inlineStr">
        <is>
          <t>No</t>
        </is>
      </c>
      <c r="M346" t="inlineStr">
        <is>
          <t>In stock</t>
        </is>
      </c>
      <c r="N346" t="inlineStr">
        <is>
          <t>Mobile (travels with robot)</t>
        </is>
      </c>
    </row>
    <row r="347">
      <c r="A347" t="n">
        <v>346</v>
      </c>
      <c r="B347" t="n">
        <v>16</v>
      </c>
      <c r="C347" t="inlineStr">
        <is>
          <t>Mechanical parts</t>
        </is>
      </c>
      <c r="D347" t="inlineStr">
        <is>
          <t>16-C Washers</t>
        </is>
      </c>
      <c r="E347" s="24" t="inlineStr">
        <is>
          <t>Washer - Flat, M10</t>
        </is>
      </c>
      <c r="F347" t="inlineStr">
        <is>
          <t>20.0</t>
        </is>
      </c>
      <c r="G347" s="25" t="inlineStr">
        <is>
          <t>Consumable</t>
        </is>
      </c>
      <c r="H347" s="24" t="inlineStr">
        <is>
          <t>Bulk fastener - consumable-class stock</t>
        </is>
      </c>
      <c r="I347" t="inlineStr">
        <is>
          <t>Kaustubh</t>
        </is>
      </c>
      <c r="J347" t="inlineStr">
        <is>
          <t>India</t>
        </is>
      </c>
      <c r="K347" t="inlineStr">
        <is>
          <t>No</t>
        </is>
      </c>
      <c r="M347" t="inlineStr">
        <is>
          <t>In stock</t>
        </is>
      </c>
      <c r="N347" t="inlineStr">
        <is>
          <t>Mobile (travels with robot)</t>
        </is>
      </c>
    </row>
    <row r="348">
      <c r="A348" t="n">
        <v>347</v>
      </c>
      <c r="B348" t="n">
        <v>16</v>
      </c>
      <c r="C348" t="inlineStr">
        <is>
          <t>Mechanical parts</t>
        </is>
      </c>
      <c r="D348" t="inlineStr">
        <is>
          <t>16-C Washers</t>
        </is>
      </c>
      <c r="E348" s="24" t="inlineStr">
        <is>
          <t>Washer - Spring, M2</t>
        </is>
      </c>
      <c r="F348" t="inlineStr">
        <is>
          <t>20.0</t>
        </is>
      </c>
      <c r="G348" s="25" t="inlineStr">
        <is>
          <t>Consumable</t>
        </is>
      </c>
      <c r="H348" s="24" t="inlineStr">
        <is>
          <t>Bulk fastener - consumable-class stock</t>
        </is>
      </c>
      <c r="I348" t="inlineStr">
        <is>
          <t>Kaustubh</t>
        </is>
      </c>
      <c r="J348" t="inlineStr">
        <is>
          <t>India</t>
        </is>
      </c>
      <c r="K348" t="inlineStr">
        <is>
          <t>No</t>
        </is>
      </c>
      <c r="M348" t="inlineStr">
        <is>
          <t>In stock</t>
        </is>
      </c>
      <c r="N348" t="inlineStr">
        <is>
          <t>Mobile (travels with robot)</t>
        </is>
      </c>
    </row>
    <row r="349">
      <c r="A349" t="n">
        <v>348</v>
      </c>
      <c r="B349" t="n">
        <v>16</v>
      </c>
      <c r="C349" t="inlineStr">
        <is>
          <t>Mechanical parts</t>
        </is>
      </c>
      <c r="D349" t="inlineStr">
        <is>
          <t>16-C Washers</t>
        </is>
      </c>
      <c r="E349" s="24" t="inlineStr">
        <is>
          <t>Washer - Spring, M3</t>
        </is>
      </c>
      <c r="F349" t="inlineStr">
        <is>
          <t>20.0</t>
        </is>
      </c>
      <c r="G349" s="25" t="inlineStr">
        <is>
          <t>Consumable</t>
        </is>
      </c>
      <c r="H349" s="24" t="inlineStr">
        <is>
          <t>Bulk fastener - consumable-class stock</t>
        </is>
      </c>
      <c r="I349" t="inlineStr">
        <is>
          <t>Kaustubh</t>
        </is>
      </c>
      <c r="J349" t="inlineStr">
        <is>
          <t>India</t>
        </is>
      </c>
      <c r="K349" t="inlineStr">
        <is>
          <t>No</t>
        </is>
      </c>
      <c r="M349" t="inlineStr">
        <is>
          <t>In stock</t>
        </is>
      </c>
      <c r="N349" t="inlineStr">
        <is>
          <t>Mobile (travels with robot)</t>
        </is>
      </c>
    </row>
    <row r="350">
      <c r="A350" t="n">
        <v>349</v>
      </c>
      <c r="B350" t="n">
        <v>2</v>
      </c>
      <c r="C350" t="inlineStr">
        <is>
          <t>Bringup Kit</t>
        </is>
      </c>
      <c r="D350" t="inlineStr">
        <is>
          <t>17-A Hand Tools</t>
        </is>
      </c>
      <c r="E350" s="24" t="inlineStr">
        <is>
          <t>Screw Driver kit ( With Extension)</t>
        </is>
      </c>
      <c r="F350" t="inlineStr">
        <is>
          <t>1.0</t>
        </is>
      </c>
      <c r="G350" s="26" t="inlineStr">
        <is>
          <t>Not consumable</t>
        </is>
      </c>
      <c r="H350" s="24" t="inlineStr">
        <is>
          <t>Durable equipment / spare component</t>
        </is>
      </c>
      <c r="I350" t="inlineStr">
        <is>
          <t>Badri</t>
        </is>
      </c>
      <c r="J350" t="inlineStr">
        <is>
          <t>India</t>
        </is>
      </c>
      <c r="K350" t="inlineStr">
        <is>
          <t>No</t>
        </is>
      </c>
      <c r="M350" t="inlineStr">
        <is>
          <t>PR Raised</t>
        </is>
      </c>
    </row>
    <row r="351">
      <c r="A351" t="n">
        <v>350</v>
      </c>
      <c r="B351" t="n">
        <v>16</v>
      </c>
      <c r="C351" t="inlineStr">
        <is>
          <t>Mechanical parts</t>
        </is>
      </c>
      <c r="D351" t="inlineStr">
        <is>
          <t>16-C Washers</t>
        </is>
      </c>
      <c r="E351" s="24" t="inlineStr">
        <is>
          <t>Washer - Spring, M4</t>
        </is>
      </c>
      <c r="F351" t="inlineStr">
        <is>
          <t>20.0</t>
        </is>
      </c>
      <c r="G351" s="25" t="inlineStr">
        <is>
          <t>Consumable</t>
        </is>
      </c>
      <c r="H351" s="24" t="inlineStr">
        <is>
          <t>Bulk fastener - consumable-class stock</t>
        </is>
      </c>
      <c r="I351" t="inlineStr">
        <is>
          <t>Kaustubh</t>
        </is>
      </c>
      <c r="J351" t="inlineStr">
        <is>
          <t>India</t>
        </is>
      </c>
      <c r="K351" t="inlineStr">
        <is>
          <t>No</t>
        </is>
      </c>
      <c r="L351" t="inlineStr">
        <is>
          <t>PR-2026-1677</t>
        </is>
      </c>
      <c r="M351" t="inlineStr">
        <is>
          <t>PR Raised</t>
        </is>
      </c>
      <c r="N351" t="inlineStr">
        <is>
          <t>Mobile (travels with robot)</t>
        </is>
      </c>
    </row>
    <row r="352">
      <c r="A352" t="n">
        <v>351</v>
      </c>
      <c r="B352" t="n">
        <v>2</v>
      </c>
      <c r="C352" t="inlineStr">
        <is>
          <t>Bringup Kit</t>
        </is>
      </c>
      <c r="D352" t="inlineStr">
        <is>
          <t>2-E Electronics &amp; Cables</t>
        </is>
      </c>
      <c r="E352" s="24" t="inlineStr">
        <is>
          <t>Camera - STURDeCAM25 - EOA calibration with Sparco</t>
        </is>
      </c>
      <c r="F352" t="inlineStr">
        <is>
          <t>1.0</t>
        </is>
      </c>
      <c r="G352" s="26" t="inlineStr">
        <is>
          <t>Not consumable</t>
        </is>
      </c>
      <c r="H352" s="24" t="inlineStr">
        <is>
          <t>Durable equipment / spare component</t>
        </is>
      </c>
      <c r="I352" t="inlineStr">
        <is>
          <t>Badri</t>
        </is>
      </c>
      <c r="J352" t="inlineStr">
        <is>
          <t>India</t>
        </is>
      </c>
      <c r="K352" t="inlineStr">
        <is>
          <t>No</t>
        </is>
      </c>
      <c r="M352" t="inlineStr">
        <is>
          <t>In stock</t>
        </is>
      </c>
    </row>
    <row r="353">
      <c r="A353" t="n">
        <v>352</v>
      </c>
      <c r="B353" t="n">
        <v>16</v>
      </c>
      <c r="C353" t="inlineStr">
        <is>
          <t>Mechanical parts</t>
        </is>
      </c>
      <c r="D353" t="inlineStr">
        <is>
          <t>16-C Washers</t>
        </is>
      </c>
      <c r="E353" s="24" t="inlineStr">
        <is>
          <t>Washer - Spring, M5</t>
        </is>
      </c>
      <c r="F353" t="inlineStr">
        <is>
          <t>20.0</t>
        </is>
      </c>
      <c r="G353" s="25" t="inlineStr">
        <is>
          <t>Consumable</t>
        </is>
      </c>
      <c r="H353" s="24" t="inlineStr">
        <is>
          <t>Bulk fastener - consumable-class stock</t>
        </is>
      </c>
      <c r="I353" t="inlineStr">
        <is>
          <t>Kaustubh</t>
        </is>
      </c>
      <c r="J353" t="inlineStr">
        <is>
          <t>India</t>
        </is>
      </c>
      <c r="K353" t="inlineStr">
        <is>
          <t>No</t>
        </is>
      </c>
      <c r="L353" t="inlineStr">
        <is>
          <t>PR-2026-1677</t>
        </is>
      </c>
      <c r="M353" t="inlineStr">
        <is>
          <t>PR Raised</t>
        </is>
      </c>
      <c r="N353" t="inlineStr">
        <is>
          <t>Mobile (travels with robot)</t>
        </is>
      </c>
    </row>
    <row r="354">
      <c r="A354" t="n">
        <v>353</v>
      </c>
      <c r="B354" t="n">
        <v>16</v>
      </c>
      <c r="C354" t="inlineStr">
        <is>
          <t>Mechanical parts</t>
        </is>
      </c>
      <c r="D354" t="inlineStr">
        <is>
          <t>16-C Washers</t>
        </is>
      </c>
      <c r="E354" s="24" t="inlineStr">
        <is>
          <t>Washer - Spring, M6</t>
        </is>
      </c>
      <c r="F354" t="inlineStr">
        <is>
          <t>20.0</t>
        </is>
      </c>
      <c r="G354" s="25" t="inlineStr">
        <is>
          <t>Consumable</t>
        </is>
      </c>
      <c r="H354" s="24" t="inlineStr">
        <is>
          <t>Bulk fastener - consumable-class stock</t>
        </is>
      </c>
      <c r="I354" t="inlineStr">
        <is>
          <t>Kaustubh</t>
        </is>
      </c>
      <c r="J354" t="inlineStr">
        <is>
          <t>India</t>
        </is>
      </c>
      <c r="K354" t="inlineStr">
        <is>
          <t>No</t>
        </is>
      </c>
      <c r="M354" t="inlineStr">
        <is>
          <t>In stock</t>
        </is>
      </c>
      <c r="N354" t="inlineStr">
        <is>
          <t>Mobile (travels with robot)</t>
        </is>
      </c>
    </row>
    <row r="355">
      <c r="A355" t="n">
        <v>354</v>
      </c>
      <c r="B355" t="n">
        <v>16</v>
      </c>
      <c r="C355" t="inlineStr">
        <is>
          <t>Mechanical parts</t>
        </is>
      </c>
      <c r="D355" t="inlineStr">
        <is>
          <t>16-C Washers</t>
        </is>
      </c>
      <c r="E355" s="24" t="inlineStr">
        <is>
          <t>Washer - Spring, M8</t>
        </is>
      </c>
      <c r="F355" t="inlineStr">
        <is>
          <t>20.0</t>
        </is>
      </c>
      <c r="G355" s="25" t="inlineStr">
        <is>
          <t>Consumable</t>
        </is>
      </c>
      <c r="H355" s="24" t="inlineStr">
        <is>
          <t>Bulk fastener - consumable-class stock</t>
        </is>
      </c>
      <c r="I355" t="inlineStr">
        <is>
          <t>Kaustubh</t>
        </is>
      </c>
      <c r="J355" t="inlineStr">
        <is>
          <t>India</t>
        </is>
      </c>
      <c r="K355" t="inlineStr">
        <is>
          <t>No</t>
        </is>
      </c>
      <c r="M355" t="inlineStr">
        <is>
          <t>In stock</t>
        </is>
      </c>
      <c r="N355" t="inlineStr">
        <is>
          <t>Mobile (travels with robot)</t>
        </is>
      </c>
    </row>
    <row r="356">
      <c r="A356" t="n">
        <v>355</v>
      </c>
      <c r="B356" t="n">
        <v>16</v>
      </c>
      <c r="C356" t="inlineStr">
        <is>
          <t>Mechanical parts</t>
        </is>
      </c>
      <c r="D356" t="inlineStr">
        <is>
          <t>16-C Washers</t>
        </is>
      </c>
      <c r="E356" s="24" t="inlineStr">
        <is>
          <t>Washer - Spring, M10</t>
        </is>
      </c>
      <c r="F356" t="inlineStr">
        <is>
          <t>20.0</t>
        </is>
      </c>
      <c r="G356" s="25" t="inlineStr">
        <is>
          <t>Consumable</t>
        </is>
      </c>
      <c r="H356" s="24" t="inlineStr">
        <is>
          <t>Bulk fastener - consumable-class stock</t>
        </is>
      </c>
      <c r="I356" t="inlineStr">
        <is>
          <t>Kaustubh</t>
        </is>
      </c>
      <c r="J356" t="inlineStr">
        <is>
          <t>India</t>
        </is>
      </c>
      <c r="K356" t="inlineStr">
        <is>
          <t>No</t>
        </is>
      </c>
      <c r="M356" t="inlineStr">
        <is>
          <t>In stock</t>
        </is>
      </c>
      <c r="N356" t="inlineStr">
        <is>
          <t>Mobile (travels with robot)</t>
        </is>
      </c>
    </row>
    <row r="357">
      <c r="A357" t="n">
        <v>356</v>
      </c>
      <c r="B357" t="n">
        <v>16</v>
      </c>
      <c r="C357" t="inlineStr">
        <is>
          <t>Mechanical parts</t>
        </is>
      </c>
      <c r="D357" t="inlineStr">
        <is>
          <t>16-D T-Nuts &amp; Profile Hardware</t>
        </is>
      </c>
      <c r="E357" s="24" t="inlineStr">
        <is>
          <t>Nut - T-Slot / Hammer, M4 (40x40 profile)</t>
        </is>
      </c>
      <c r="F357" t="inlineStr">
        <is>
          <t>50</t>
        </is>
      </c>
      <c r="G357" s="25" t="inlineStr">
        <is>
          <t>Consumable</t>
        </is>
      </c>
      <c r="H357" s="24" t="inlineStr">
        <is>
          <t>Bulk fastener - consumable-class stock</t>
        </is>
      </c>
      <c r="I357" t="inlineStr">
        <is>
          <t>Kaustubh</t>
        </is>
      </c>
      <c r="J357" t="inlineStr">
        <is>
          <t>India</t>
        </is>
      </c>
      <c r="K357" t="inlineStr">
        <is>
          <t>No</t>
        </is>
      </c>
      <c r="L357" t="inlineStr">
        <is>
          <t>PR-2026-1677</t>
        </is>
      </c>
      <c r="M357" t="inlineStr">
        <is>
          <t>PR Raised</t>
        </is>
      </c>
      <c r="N357" t="inlineStr">
        <is>
          <t>Mobile (travels with robot)</t>
        </is>
      </c>
    </row>
    <row r="358">
      <c r="A358" t="n">
        <v>357</v>
      </c>
      <c r="B358" t="n">
        <v>16</v>
      </c>
      <c r="C358" t="inlineStr">
        <is>
          <t>Mechanical parts</t>
        </is>
      </c>
      <c r="D358" t="inlineStr">
        <is>
          <t>16-D T-Nuts &amp; Profile Hardware</t>
        </is>
      </c>
      <c r="E358" s="24" t="inlineStr">
        <is>
          <t>Nut - T-Slot / Hammer, M4 (20x20 profile)</t>
        </is>
      </c>
      <c r="F358" t="inlineStr">
        <is>
          <t>50.0</t>
        </is>
      </c>
      <c r="G358" s="25" t="inlineStr">
        <is>
          <t>Consumable</t>
        </is>
      </c>
      <c r="H358" s="24" t="inlineStr">
        <is>
          <t>Bulk fastener - consumable-class stock</t>
        </is>
      </c>
      <c r="I358" t="inlineStr">
        <is>
          <t>Kaustubh</t>
        </is>
      </c>
      <c r="J358" t="inlineStr">
        <is>
          <t>India</t>
        </is>
      </c>
      <c r="K358" t="inlineStr">
        <is>
          <t>No</t>
        </is>
      </c>
      <c r="L358" t="inlineStr">
        <is>
          <t>PR-2026-1677</t>
        </is>
      </c>
      <c r="M358" t="inlineStr">
        <is>
          <t>PR Raised</t>
        </is>
      </c>
      <c r="N358" t="inlineStr">
        <is>
          <t>Mobile (travels with robot)</t>
        </is>
      </c>
    </row>
    <row r="359">
      <c r="A359" t="n">
        <v>358</v>
      </c>
      <c r="B359" t="n">
        <v>16</v>
      </c>
      <c r="C359" t="inlineStr">
        <is>
          <t>Mechanical parts</t>
        </is>
      </c>
      <c r="D359" t="inlineStr">
        <is>
          <t>16-E Brackets &amp; Mounts</t>
        </is>
      </c>
      <c r="E359" s="24" t="inlineStr">
        <is>
          <t>Mount - Drag Chain, Front</t>
        </is>
      </c>
      <c r="F359" t="inlineStr"/>
      <c r="G359" s="26" t="inlineStr">
        <is>
          <t>Not consumable</t>
        </is>
      </c>
      <c r="H359" s="24" t="inlineStr">
        <is>
          <t>Durable equipment / spare component</t>
        </is>
      </c>
      <c r="I359" t="inlineStr">
        <is>
          <t>Kaustubh</t>
        </is>
      </c>
      <c r="J359" t="inlineStr">
        <is>
          <t>India</t>
        </is>
      </c>
      <c r="K359" t="inlineStr">
        <is>
          <t>No</t>
        </is>
      </c>
      <c r="M359" t="inlineStr">
        <is>
          <t>To be Printed</t>
        </is>
      </c>
      <c r="N359" t="inlineStr">
        <is>
          <t>Mobile (travels with robot)</t>
        </is>
      </c>
    </row>
    <row r="360">
      <c r="A360" t="n">
        <v>359</v>
      </c>
      <c r="B360" t="n">
        <v>16</v>
      </c>
      <c r="C360" t="inlineStr">
        <is>
          <t>Mechanical parts</t>
        </is>
      </c>
      <c r="D360" t="inlineStr">
        <is>
          <t>16-E Brackets &amp; Mounts</t>
        </is>
      </c>
      <c r="E360" s="24" t="inlineStr">
        <is>
          <t>Bracket - Wheel Locking, Diagonal - tool sprayer</t>
        </is>
      </c>
      <c r="F360" t="inlineStr">
        <is>
          <t>6</t>
        </is>
      </c>
      <c r="G360" s="26" t="inlineStr">
        <is>
          <t>Not consumable</t>
        </is>
      </c>
      <c r="H360" s="24" t="inlineStr">
        <is>
          <t>Durable equipment / spare component</t>
        </is>
      </c>
      <c r="I360" t="inlineStr">
        <is>
          <t>Kaustubh</t>
        </is>
      </c>
      <c r="J360" t="inlineStr">
        <is>
          <t>India</t>
        </is>
      </c>
      <c r="K360" t="inlineStr">
        <is>
          <t>No</t>
        </is>
      </c>
      <c r="L360" t="inlineStr">
        <is>
          <t>PR-2026-1638</t>
        </is>
      </c>
      <c r="M360" t="inlineStr">
        <is>
          <t>PR Raised</t>
        </is>
      </c>
    </row>
    <row r="361">
      <c r="A361" t="n">
        <v>360</v>
      </c>
      <c r="B361" t="n">
        <v>16</v>
      </c>
      <c r="C361" t="inlineStr">
        <is>
          <t>Mechanical parts</t>
        </is>
      </c>
      <c r="D361" t="inlineStr">
        <is>
          <t>16-F Printed &amp; Machined Parts</t>
        </is>
      </c>
      <c r="E361" s="24" t="inlineStr">
        <is>
          <t>Clip - Bumper (3D printed)</t>
        </is>
      </c>
      <c r="F361" t="inlineStr">
        <is>
          <t>10</t>
        </is>
      </c>
      <c r="G361" s="26" t="inlineStr">
        <is>
          <t>Not consumable</t>
        </is>
      </c>
      <c r="H361" s="24" t="inlineStr">
        <is>
          <t>Durable equipment / spare component</t>
        </is>
      </c>
      <c r="I361" t="inlineStr">
        <is>
          <t>Kaustubh</t>
        </is>
      </c>
      <c r="J361" t="inlineStr">
        <is>
          <t>Buy in US</t>
        </is>
      </c>
      <c r="K361" t="inlineStr">
        <is>
          <t>No</t>
        </is>
      </c>
      <c r="M361" t="inlineStr">
        <is>
          <t>To be Printed</t>
        </is>
      </c>
      <c r="N361" t="inlineStr">
        <is>
          <t>Mobile (travels with robot)</t>
        </is>
      </c>
    </row>
    <row r="362">
      <c r="A362" t="n">
        <v>361</v>
      </c>
      <c r="B362" t="n">
        <v>16</v>
      </c>
      <c r="C362" t="inlineStr">
        <is>
          <t>Mechanical parts</t>
        </is>
      </c>
      <c r="D362" t="inlineStr">
        <is>
          <t>16-F Printed &amp; Machined Parts</t>
        </is>
      </c>
      <c r="E362" s="24" t="inlineStr">
        <is>
          <t>Clip - Hose (3D printed)</t>
        </is>
      </c>
      <c r="F362" t="inlineStr">
        <is>
          <t>2</t>
        </is>
      </c>
      <c r="G362" s="26" t="inlineStr">
        <is>
          <t>Not consumable</t>
        </is>
      </c>
      <c r="H362" s="24" t="inlineStr">
        <is>
          <t>Durable equipment / spare component</t>
        </is>
      </c>
      <c r="I362" t="inlineStr">
        <is>
          <t>Kaustubh</t>
        </is>
      </c>
      <c r="J362" t="inlineStr">
        <is>
          <t>Buy in US</t>
        </is>
      </c>
      <c r="K362" t="inlineStr">
        <is>
          <t>No</t>
        </is>
      </c>
      <c r="M362" t="inlineStr">
        <is>
          <t>To be Printed</t>
        </is>
      </c>
      <c r="N362" t="inlineStr">
        <is>
          <t>Mobile (travels with robot)</t>
        </is>
      </c>
    </row>
    <row r="363">
      <c r="A363" t="n">
        <v>362</v>
      </c>
      <c r="B363" t="n">
        <v>16</v>
      </c>
      <c r="C363" t="inlineStr">
        <is>
          <t>Mechanical parts</t>
        </is>
      </c>
      <c r="D363" t="inlineStr">
        <is>
          <t>16-F Printed &amp; Machined Parts</t>
        </is>
      </c>
      <c r="E363" s="24" t="inlineStr">
        <is>
          <t>Attachment - Tool Interaction Hose Routing (3D printed)</t>
        </is>
      </c>
      <c r="F363" t="inlineStr">
        <is>
          <t>2</t>
        </is>
      </c>
      <c r="G363" s="26" t="inlineStr">
        <is>
          <t>Not consumable</t>
        </is>
      </c>
      <c r="H363" s="24" t="inlineStr">
        <is>
          <t>Durable equipment / spare component</t>
        </is>
      </c>
      <c r="I363" t="inlineStr">
        <is>
          <t>Kaustubh</t>
        </is>
      </c>
      <c r="J363" t="inlineStr">
        <is>
          <t>India</t>
        </is>
      </c>
      <c r="K363" t="inlineStr">
        <is>
          <t>No</t>
        </is>
      </c>
      <c r="M363" t="inlineStr">
        <is>
          <t>To be Printed</t>
        </is>
      </c>
      <c r="N363" t="inlineStr">
        <is>
          <t>NY Stationary (stays in NY inventory)</t>
        </is>
      </c>
    </row>
    <row r="364">
      <c r="A364" t="n">
        <v>363</v>
      </c>
      <c r="B364" t="n">
        <v>16</v>
      </c>
      <c r="C364" t="inlineStr">
        <is>
          <t>Mechanical parts</t>
        </is>
      </c>
      <c r="D364" t="inlineStr">
        <is>
          <t>16-F Printed &amp; Machined Parts</t>
        </is>
      </c>
      <c r="E364" s="24" t="inlineStr">
        <is>
          <t>Mount - Perception Lights (3D printed)</t>
        </is>
      </c>
      <c r="F364" t="inlineStr">
        <is>
          <t>2</t>
        </is>
      </c>
      <c r="G364" s="26" t="inlineStr">
        <is>
          <t>Not consumable</t>
        </is>
      </c>
      <c r="H364" s="24" t="inlineStr">
        <is>
          <t>Durable equipment / spare component</t>
        </is>
      </c>
      <c r="I364" t="inlineStr">
        <is>
          <t>Kaustubh</t>
        </is>
      </c>
      <c r="J364" t="inlineStr">
        <is>
          <t>India</t>
        </is>
      </c>
      <c r="K364" t="inlineStr">
        <is>
          <t>No</t>
        </is>
      </c>
      <c r="M364" t="inlineStr">
        <is>
          <t>To be Printed</t>
        </is>
      </c>
      <c r="N364" t="inlineStr">
        <is>
          <t>NY Stationary (stays in NY inventory)</t>
        </is>
      </c>
    </row>
    <row r="365">
      <c r="A365" t="n">
        <v>364</v>
      </c>
      <c r="B365" t="n">
        <v>16</v>
      </c>
      <c r="C365" t="inlineStr">
        <is>
          <t>Mechanical parts</t>
        </is>
      </c>
      <c r="D365" t="inlineStr">
        <is>
          <t>16-F Printed &amp; Machined Parts</t>
        </is>
      </c>
      <c r="E365" s="24" t="inlineStr">
        <is>
          <t>Machined Part - D1 Spec, D1S-015</t>
        </is>
      </c>
      <c r="F365" t="inlineStr">
        <is>
          <t>1</t>
        </is>
      </c>
      <c r="G365" s="26" t="inlineStr">
        <is>
          <t>Not consumable</t>
        </is>
      </c>
      <c r="H365" s="24" t="inlineStr">
        <is>
          <t>Durable equipment / spare component</t>
        </is>
      </c>
      <c r="I365" t="inlineStr">
        <is>
          <t>SANKALP</t>
        </is>
      </c>
      <c r="J365" t="inlineStr">
        <is>
          <t>India</t>
        </is>
      </c>
      <c r="K365" t="inlineStr">
        <is>
          <t>No</t>
        </is>
      </c>
      <c r="M365" t="inlineStr">
        <is>
          <t>In stock</t>
        </is>
      </c>
    </row>
    <row r="366">
      <c r="A366" t="n">
        <v>365</v>
      </c>
      <c r="B366" t="n">
        <v>16</v>
      </c>
      <c r="C366" t="inlineStr">
        <is>
          <t>Mechanical parts</t>
        </is>
      </c>
      <c r="D366" t="inlineStr">
        <is>
          <t>16-F Printed &amp; Machined Parts</t>
        </is>
      </c>
      <c r="E366" s="24" t="inlineStr">
        <is>
          <t>Mount - D1 Spec (3D printed)</t>
        </is>
      </c>
      <c r="F366" t="inlineStr">
        <is>
          <t>1</t>
        </is>
      </c>
      <c r="G366" s="26" t="inlineStr">
        <is>
          <t>Not consumable</t>
        </is>
      </c>
      <c r="H366" s="24" t="inlineStr">
        <is>
          <t>Durable equipment / spare component</t>
        </is>
      </c>
      <c r="I366" t="inlineStr">
        <is>
          <t>SANKALP</t>
        </is>
      </c>
      <c r="J366" t="inlineStr">
        <is>
          <t>India</t>
        </is>
      </c>
      <c r="K366" t="inlineStr">
        <is>
          <t>No</t>
        </is>
      </c>
      <c r="M366" t="inlineStr">
        <is>
          <t>To be Printed</t>
        </is>
      </c>
    </row>
    <row r="367">
      <c r="A367" t="n">
        <v>366</v>
      </c>
      <c r="B367" t="n">
        <v>16</v>
      </c>
      <c r="C367" t="inlineStr">
        <is>
          <t>Mechanical parts</t>
        </is>
      </c>
      <c r="D367" t="inlineStr">
        <is>
          <t>16-H Hoses &amp; Fittings</t>
        </is>
      </c>
      <c r="E367" s="24" t="inlineStr">
        <is>
          <t>Hose - Mirka Vacuum, 8 m, MIN6519211</t>
        </is>
      </c>
      <c r="F367" t="inlineStr">
        <is>
          <t>1</t>
        </is>
      </c>
      <c r="G367" s="26" t="inlineStr">
        <is>
          <t>Not consumable</t>
        </is>
      </c>
      <c r="H367" s="24" t="inlineStr">
        <is>
          <t>Durable equipment / spare component</t>
        </is>
      </c>
      <c r="I367" t="inlineStr">
        <is>
          <t>SANKALP</t>
        </is>
      </c>
      <c r="J367" t="inlineStr">
        <is>
          <t>Buy in US</t>
        </is>
      </c>
      <c r="K367" t="inlineStr">
        <is>
          <t>No</t>
        </is>
      </c>
      <c r="M367" t="inlineStr">
        <is>
          <t>To be purchased</t>
        </is>
      </c>
    </row>
    <row r="368">
      <c r="A368" t="n">
        <v>367</v>
      </c>
      <c r="B368" t="n">
        <v>16</v>
      </c>
      <c r="C368" t="inlineStr">
        <is>
          <t>Mechanical parts</t>
        </is>
      </c>
      <c r="D368" t="inlineStr">
        <is>
          <t>16-H Hoses &amp; Fittings</t>
        </is>
      </c>
      <c r="E368" s="24" t="inlineStr">
        <is>
          <t>Adapter - Mirka Hose (3D printed)</t>
        </is>
      </c>
      <c r="F368" t="inlineStr">
        <is>
          <t>2</t>
        </is>
      </c>
      <c r="G368" s="26" t="inlineStr">
        <is>
          <t>Not consumable</t>
        </is>
      </c>
      <c r="H368" s="24" t="inlineStr">
        <is>
          <t>Durable equipment / spare component</t>
        </is>
      </c>
      <c r="I368" t="inlineStr">
        <is>
          <t>SANKALP</t>
        </is>
      </c>
      <c r="J368" t="inlineStr">
        <is>
          <t>India</t>
        </is>
      </c>
      <c r="K368" t="inlineStr">
        <is>
          <t>No</t>
        </is>
      </c>
      <c r="M368" t="inlineStr">
        <is>
          <t>To be Printed</t>
        </is>
      </c>
    </row>
    <row r="369">
      <c r="A369" t="n">
        <v>368</v>
      </c>
      <c r="B369" t="n">
        <v>16</v>
      </c>
      <c r="C369" t="inlineStr">
        <is>
          <t>Mechanical parts</t>
        </is>
      </c>
      <c r="D369" t="inlineStr">
        <is>
          <t>16-J Springs &amp; Magnets</t>
        </is>
      </c>
      <c r="E369" s="24" t="inlineStr">
        <is>
          <t>Magnet - Neodymium, 50 x 25 x 12.5 mm(Sander+Sprayer)</t>
        </is>
      </c>
      <c r="F369" t="inlineStr">
        <is>
          <t>5.0</t>
        </is>
      </c>
      <c r="G369" s="26" t="inlineStr">
        <is>
          <t>Not consumable</t>
        </is>
      </c>
      <c r="H369" s="24" t="inlineStr">
        <is>
          <t>Durable equipment / spare component</t>
        </is>
      </c>
      <c r="I369" t="inlineStr">
        <is>
          <t>Anand</t>
        </is>
      </c>
      <c r="J369" t="inlineStr">
        <is>
          <t>India</t>
        </is>
      </c>
      <c r="K369" t="inlineStr">
        <is>
          <t>No</t>
        </is>
      </c>
      <c r="M369" t="inlineStr">
        <is>
          <t>In stock</t>
        </is>
      </c>
    </row>
    <row r="370">
      <c r="A370" t="n">
        <v>369</v>
      </c>
      <c r="B370" t="n">
        <v>16</v>
      </c>
      <c r="C370" t="inlineStr">
        <is>
          <t>Mechanical parts</t>
        </is>
      </c>
      <c r="D370" t="inlineStr">
        <is>
          <t>16-J Springs &amp; Magnets</t>
        </is>
      </c>
      <c r="E370" s="24" t="inlineStr">
        <is>
          <t>Bucket Compartment Dampers</t>
        </is>
      </c>
      <c r="F370" t="inlineStr">
        <is>
          <t>6.0</t>
        </is>
      </c>
      <c r="G370" s="26" t="inlineStr">
        <is>
          <t>Not consumable</t>
        </is>
      </c>
      <c r="H370" s="24" t="inlineStr">
        <is>
          <t>Durable equipment / spare component</t>
        </is>
      </c>
      <c r="I370" t="inlineStr">
        <is>
          <t>Anand</t>
        </is>
      </c>
      <c r="J370" t="inlineStr">
        <is>
          <t>India</t>
        </is>
      </c>
      <c r="K370" t="inlineStr">
        <is>
          <t>No</t>
        </is>
      </c>
      <c r="M370" t="inlineStr">
        <is>
          <t>In stock</t>
        </is>
      </c>
    </row>
    <row r="371">
      <c r="A371" t="n">
        <v>370</v>
      </c>
      <c r="B371" t="n">
        <v>16</v>
      </c>
      <c r="C371" t="inlineStr">
        <is>
          <t>Mechanical parts</t>
        </is>
      </c>
      <c r="D371" t="inlineStr">
        <is>
          <t>16-K Bumpers, Trim &amp; Seals</t>
        </is>
      </c>
      <c r="E371" s="24" t="inlineStr">
        <is>
          <t>Bumper - AE-68, with connector wire and end cap</t>
        </is>
      </c>
      <c r="F371" t="inlineStr">
        <is>
          <t>5.0</t>
        </is>
      </c>
      <c r="G371" s="26" t="inlineStr">
        <is>
          <t>Not consumable</t>
        </is>
      </c>
      <c r="H371" s="24" t="inlineStr">
        <is>
          <t>Durable equipment / spare component</t>
        </is>
      </c>
      <c r="I371" t="inlineStr">
        <is>
          <t>Badri</t>
        </is>
      </c>
      <c r="J371" t="inlineStr">
        <is>
          <t>India</t>
        </is>
      </c>
      <c r="K371" t="inlineStr">
        <is>
          <t>No</t>
        </is>
      </c>
      <c r="M371" t="inlineStr">
        <is>
          <t>PR Raised</t>
        </is>
      </c>
      <c r="N371" t="inlineStr">
        <is>
          <t>NY Stationary (stays in NY inventory)</t>
        </is>
      </c>
    </row>
    <row r="372">
      <c r="A372" t="n">
        <v>371</v>
      </c>
      <c r="B372" t="n">
        <v>16</v>
      </c>
      <c r="C372" t="inlineStr">
        <is>
          <t>Mechanical parts</t>
        </is>
      </c>
      <c r="D372" t="inlineStr">
        <is>
          <t>16-K Bumpers, Trim &amp; Seals</t>
        </is>
      </c>
      <c r="E372" s="24" t="inlineStr">
        <is>
          <t>Gasket - Door Rubber Profile, MFT 002B</t>
        </is>
      </c>
      <c r="F372" t="inlineStr">
        <is>
          <t>3m</t>
        </is>
      </c>
      <c r="G372" s="27" t="inlineStr">
        <is>
          <t>Borderline</t>
        </is>
      </c>
      <c r="H372" s="24" t="inlineStr">
        <is>
          <t>Bulk stock issued by length - consumable-class in inventory, not used up per se</t>
        </is>
      </c>
      <c r="I372" t="inlineStr">
        <is>
          <t>Kaustubh</t>
        </is>
      </c>
      <c r="J372" t="inlineStr">
        <is>
          <t>India</t>
        </is>
      </c>
      <c r="K372" t="inlineStr">
        <is>
          <t>No</t>
        </is>
      </c>
      <c r="L372" t="inlineStr">
        <is>
          <t>PR-2026-1652</t>
        </is>
      </c>
      <c r="M372" t="inlineStr">
        <is>
          <t>PR Raised</t>
        </is>
      </c>
      <c r="N372" t="inlineStr">
        <is>
          <t>Mobile (travels with robot)</t>
        </is>
      </c>
    </row>
    <row r="373">
      <c r="A373" t="n">
        <v>372</v>
      </c>
      <c r="B373" t="n">
        <v>16</v>
      </c>
      <c r="C373" t="inlineStr">
        <is>
          <t>Mechanical parts</t>
        </is>
      </c>
      <c r="D373" t="inlineStr">
        <is>
          <t>16-M Misc Hardware</t>
        </is>
      </c>
      <c r="E373" s="24" t="inlineStr">
        <is>
          <t>Rubber Band</t>
        </is>
      </c>
      <c r="F373" t="inlineStr">
        <is>
          <t>10</t>
        </is>
      </c>
      <c r="G373" s="25" t="inlineStr">
        <is>
          <t>Consumable</t>
        </is>
      </c>
      <c r="H373" s="24" t="inlineStr">
        <is>
          <t>Disposable</t>
        </is>
      </c>
      <c r="I373" t="inlineStr">
        <is>
          <t>Kaustubh</t>
        </is>
      </c>
      <c r="J373" t="inlineStr">
        <is>
          <t>India</t>
        </is>
      </c>
      <c r="K373" t="inlineStr">
        <is>
          <t>No</t>
        </is>
      </c>
      <c r="M373" t="inlineStr">
        <is>
          <t>In stock</t>
        </is>
      </c>
      <c r="N373" t="inlineStr">
        <is>
          <t>Mobile (travels with robot)</t>
        </is>
      </c>
    </row>
    <row r="374">
      <c r="A374" t="n">
        <v>373</v>
      </c>
      <c r="B374" t="n">
        <v>16</v>
      </c>
      <c r="C374" t="inlineStr">
        <is>
          <t>Mechanical parts</t>
        </is>
      </c>
      <c r="D374" t="inlineStr">
        <is>
          <t>16-M Misc Hardware</t>
        </is>
      </c>
      <c r="E374" s="24" t="inlineStr">
        <is>
          <t>Key - Door, 8 mm Triangular Socket</t>
        </is>
      </c>
      <c r="F374" t="inlineStr">
        <is>
          <t>2</t>
        </is>
      </c>
      <c r="G374" s="26" t="inlineStr">
        <is>
          <t>Not consumable</t>
        </is>
      </c>
      <c r="H374" s="24" t="inlineStr">
        <is>
          <t>Durable equipment / spare component</t>
        </is>
      </c>
      <c r="I374" t="inlineStr">
        <is>
          <t>Kaustubh</t>
        </is>
      </c>
      <c r="J374" t="inlineStr">
        <is>
          <t>India</t>
        </is>
      </c>
      <c r="K374" t="inlineStr">
        <is>
          <t>No</t>
        </is>
      </c>
      <c r="M374" t="inlineStr">
        <is>
          <t>In stock</t>
        </is>
      </c>
      <c r="N374" t="inlineStr">
        <is>
          <t>Mobile (travels with robot)</t>
        </is>
      </c>
    </row>
    <row r="375">
      <c r="A375" t="n">
        <v>374</v>
      </c>
      <c r="B375" t="n">
        <v>16</v>
      </c>
      <c r="C375" t="inlineStr">
        <is>
          <t>Mechanical parts</t>
        </is>
      </c>
      <c r="D375" t="inlineStr">
        <is>
          <t>16-M Misc Hardware</t>
        </is>
      </c>
      <c r="E375" s="24" t="inlineStr">
        <is>
          <t>Sheet - Light Diffuser</t>
        </is>
      </c>
      <c r="F375" t="inlineStr">
        <is>
          <t>2</t>
        </is>
      </c>
      <c r="G375" s="26" t="inlineStr">
        <is>
          <t>Not consumable</t>
        </is>
      </c>
      <c r="H375" s="24" t="inlineStr">
        <is>
          <t>Durable equipment / spare component</t>
        </is>
      </c>
      <c r="I375" t="inlineStr">
        <is>
          <t>Kaustubh</t>
        </is>
      </c>
      <c r="J375" t="inlineStr">
        <is>
          <t>India</t>
        </is>
      </c>
      <c r="K375" t="inlineStr">
        <is>
          <t>No</t>
        </is>
      </c>
      <c r="M375" t="inlineStr">
        <is>
          <t>In stock</t>
        </is>
      </c>
      <c r="N375" t="inlineStr">
        <is>
          <t>NY Stationary (stays in NY inventory)</t>
        </is>
      </c>
    </row>
    <row r="376">
      <c r="A376" t="n">
        <v>375</v>
      </c>
      <c r="B376" t="n">
        <v>16</v>
      </c>
      <c r="C376" t="inlineStr">
        <is>
          <t>Mechanical parts</t>
        </is>
      </c>
      <c r="D376" t="inlineStr">
        <is>
          <t>16-M Misc Hardware</t>
        </is>
      </c>
      <c r="E376" s="24" t="inlineStr">
        <is>
          <t>Carabiner - Snap Link Hook, Zinc-Galvanized Steel, 80 x 8 mm</t>
        </is>
      </c>
      <c r="F376" t="inlineStr">
        <is>
          <t>10</t>
        </is>
      </c>
      <c r="G376" s="26" t="inlineStr">
        <is>
          <t>Not consumable</t>
        </is>
      </c>
      <c r="H376" s="24" t="inlineStr">
        <is>
          <t>Durable equipment / spare component</t>
        </is>
      </c>
      <c r="I376" t="inlineStr">
        <is>
          <t>SANKALP</t>
        </is>
      </c>
      <c r="J376" t="inlineStr">
        <is>
          <t>India</t>
        </is>
      </c>
      <c r="K376" t="inlineStr">
        <is>
          <t>No</t>
        </is>
      </c>
      <c r="L376" t="inlineStr">
        <is>
          <t>PR-2026-1671</t>
        </is>
      </c>
      <c r="M376" t="inlineStr">
        <is>
          <t>PR Raised</t>
        </is>
      </c>
    </row>
    <row r="377">
      <c r="A377" t="n">
        <v>376</v>
      </c>
      <c r="B377" t="n">
        <v>16</v>
      </c>
      <c r="C377" t="inlineStr">
        <is>
          <t>Mechanical parts</t>
        </is>
      </c>
      <c r="D377" t="inlineStr">
        <is>
          <t>16-M Misc Hardware</t>
        </is>
      </c>
      <c r="E377" s="24" t="inlineStr">
        <is>
          <t>Split Ring - Metal, 1 in - sander TST</t>
        </is>
      </c>
      <c r="F377" t="inlineStr">
        <is>
          <t>5</t>
        </is>
      </c>
      <c r="G377" s="26" t="inlineStr">
        <is>
          <t>Not consumable</t>
        </is>
      </c>
      <c r="H377" s="24" t="inlineStr">
        <is>
          <t>Durable equipment / spare component</t>
        </is>
      </c>
      <c r="I377" t="inlineStr">
        <is>
          <t>SANKALP</t>
        </is>
      </c>
      <c r="J377" t="inlineStr">
        <is>
          <t>India</t>
        </is>
      </c>
      <c r="K377" t="inlineStr">
        <is>
          <t>No</t>
        </is>
      </c>
      <c r="L377" t="inlineStr">
        <is>
          <t>PR-2026-1672</t>
        </is>
      </c>
      <c r="M377" t="inlineStr">
        <is>
          <t>PR Raised</t>
        </is>
      </c>
    </row>
    <row r="378">
      <c r="A378" t="n">
        <v>377</v>
      </c>
      <c r="B378" t="n">
        <v>16</v>
      </c>
      <c r="C378" t="inlineStr">
        <is>
          <t>Mechanical parts</t>
        </is>
      </c>
      <c r="D378" t="inlineStr">
        <is>
          <t>16-M Misc Hardware</t>
        </is>
      </c>
      <c r="E378" s="24" t="inlineStr">
        <is>
          <t>Eye Bolt - M8</t>
        </is>
      </c>
      <c r="F378" t="inlineStr">
        <is>
          <t>4</t>
        </is>
      </c>
      <c r="G378" s="26" t="inlineStr">
        <is>
          <t>Not consumable</t>
        </is>
      </c>
      <c r="H378" s="24" t="inlineStr">
        <is>
          <t>Durable equipment / spare component</t>
        </is>
      </c>
      <c r="I378" t="inlineStr">
        <is>
          <t>Kaustubh</t>
        </is>
      </c>
      <c r="J378" t="inlineStr">
        <is>
          <t>India</t>
        </is>
      </c>
      <c r="K378" t="inlineStr">
        <is>
          <t>No</t>
        </is>
      </c>
      <c r="M378" t="inlineStr">
        <is>
          <t>IQC Stage</t>
        </is>
      </c>
      <c r="N378" t="inlineStr">
        <is>
          <t>Mobile (travels with robot)</t>
        </is>
      </c>
    </row>
    <row r="379">
      <c r="A379" t="n">
        <v>378</v>
      </c>
      <c r="B379" t="n">
        <v>16</v>
      </c>
      <c r="C379" t="inlineStr">
        <is>
          <t>Mechanical parts</t>
        </is>
      </c>
      <c r="D379" t="inlineStr">
        <is>
          <t>16-M Misc Hardware</t>
        </is>
      </c>
      <c r="E379" s="24" t="inlineStr">
        <is>
          <t>Robot Jack</t>
        </is>
      </c>
      <c r="F379" t="inlineStr">
        <is>
          <t>2.0</t>
        </is>
      </c>
      <c r="G379" s="26" t="inlineStr">
        <is>
          <t>Not consumable</t>
        </is>
      </c>
      <c r="H379" s="24" t="inlineStr">
        <is>
          <t>Durable equipment / spare component</t>
        </is>
      </c>
      <c r="I379" t="inlineStr">
        <is>
          <t>Kaustubh</t>
        </is>
      </c>
      <c r="J379" t="inlineStr">
        <is>
          <t>India</t>
        </is>
      </c>
      <c r="K379" t="inlineStr">
        <is>
          <t>No</t>
        </is>
      </c>
      <c r="M379" t="inlineStr">
        <is>
          <t>In stock</t>
        </is>
      </c>
      <c r="N379" t="inlineStr">
        <is>
          <t>Mobile (travels with robot)</t>
        </is>
      </c>
    </row>
    <row r="380">
      <c r="A380" t="n">
        <v>379</v>
      </c>
      <c r="B380" t="n">
        <v>16</v>
      </c>
      <c r="C380" t="inlineStr">
        <is>
          <t>Mechanical parts</t>
        </is>
      </c>
      <c r="D380" t="inlineStr">
        <is>
          <t>16-M Misc Hardware</t>
        </is>
      </c>
      <c r="E380" s="24" t="inlineStr">
        <is>
          <t>Carabiner - Snap Hook Clip, B0BW99S531</t>
        </is>
      </c>
      <c r="F380" t="inlineStr">
        <is>
          <t>3</t>
        </is>
      </c>
      <c r="G380" s="26" t="inlineStr">
        <is>
          <t>Not consumable</t>
        </is>
      </c>
      <c r="H380" s="24" t="inlineStr">
        <is>
          <t>Durable equipment / spare component</t>
        </is>
      </c>
      <c r="I380" t="inlineStr">
        <is>
          <t>Anand</t>
        </is>
      </c>
      <c r="J380" t="inlineStr">
        <is>
          <t>India</t>
        </is>
      </c>
      <c r="K380" t="inlineStr">
        <is>
          <t>No</t>
        </is>
      </c>
      <c r="M380" t="inlineStr">
        <is>
          <t>In stock</t>
        </is>
      </c>
    </row>
    <row r="381">
      <c r="A381" t="n">
        <v>380</v>
      </c>
      <c r="B381" t="n">
        <v>17</v>
      </c>
      <c r="C381" t="inlineStr">
        <is>
          <t>Diagnostic &amp; repair tools</t>
        </is>
      </c>
      <c r="D381" t="inlineStr">
        <is>
          <t>17-A Hand Tools</t>
        </is>
      </c>
      <c r="E381" s="24" t="inlineStr">
        <is>
          <t>Drill Bit Set - HSS</t>
        </is>
      </c>
      <c r="F381" t="inlineStr">
        <is>
          <t>1</t>
        </is>
      </c>
      <c r="G381" s="26" t="inlineStr">
        <is>
          <t>Not consumable</t>
        </is>
      </c>
      <c r="H381" s="24" t="inlineStr">
        <is>
          <t>Durable equipment / spare component</t>
        </is>
      </c>
      <c r="I381" t="inlineStr">
        <is>
          <t>Kaustubh</t>
        </is>
      </c>
      <c r="J381" t="inlineStr">
        <is>
          <t>India</t>
        </is>
      </c>
      <c r="K381" t="inlineStr">
        <is>
          <t>No</t>
        </is>
      </c>
      <c r="L381" t="inlineStr">
        <is>
          <t>PR-2026-1645</t>
        </is>
      </c>
      <c r="M381" t="inlineStr">
        <is>
          <t>PR Raised</t>
        </is>
      </c>
      <c r="N381" t="inlineStr">
        <is>
          <t>NY Stationary (stays in NY inventory)</t>
        </is>
      </c>
    </row>
    <row r="382">
      <c r="A382" t="n">
        <v>381</v>
      </c>
      <c r="B382" t="n">
        <v>17</v>
      </c>
      <c r="C382" t="inlineStr">
        <is>
          <t>Diagnostic &amp; repair tools</t>
        </is>
      </c>
      <c r="D382" t="inlineStr">
        <is>
          <t>17-A Hand Tools</t>
        </is>
      </c>
      <c r="E382" s="24" t="inlineStr">
        <is>
          <t>AIr blower</t>
        </is>
      </c>
      <c r="F382" t="inlineStr">
        <is>
          <t>1.0</t>
        </is>
      </c>
      <c r="G382" s="26" t="inlineStr">
        <is>
          <t>Not consumable</t>
        </is>
      </c>
      <c r="H382" s="24" t="inlineStr">
        <is>
          <t>Durable equipment / spare component</t>
        </is>
      </c>
      <c r="I382" t="inlineStr">
        <is>
          <t>Kaustubh</t>
        </is>
      </c>
      <c r="J382" t="inlineStr">
        <is>
          <t>Buy in US</t>
        </is>
      </c>
      <c r="K382" t="inlineStr">
        <is>
          <t>No</t>
        </is>
      </c>
      <c r="M382" t="inlineStr">
        <is>
          <t>To be purchased</t>
        </is>
      </c>
    </row>
    <row r="383">
      <c r="A383" t="n">
        <v>382</v>
      </c>
      <c r="B383" t="n">
        <v>17</v>
      </c>
      <c r="C383" t="inlineStr">
        <is>
          <t>Diagnostic &amp; repair tools</t>
        </is>
      </c>
      <c r="D383" t="inlineStr">
        <is>
          <t>17-A Hand Tools</t>
        </is>
      </c>
      <c r="E383" s="24" t="inlineStr">
        <is>
          <t>Stanley Knife</t>
        </is>
      </c>
      <c r="F383" t="inlineStr">
        <is>
          <t>1 knife</t>
        </is>
      </c>
      <c r="G383" s="26" t="inlineStr">
        <is>
          <t>Not consumable</t>
        </is>
      </c>
      <c r="H383" s="24" t="inlineStr">
        <is>
          <t>Durable equipment / spare component</t>
        </is>
      </c>
      <c r="I383" t="inlineStr">
        <is>
          <t>Kaustubh</t>
        </is>
      </c>
      <c r="J383" t="inlineStr">
        <is>
          <t>India</t>
        </is>
      </c>
      <c r="K383" t="inlineStr">
        <is>
          <t>No</t>
        </is>
      </c>
      <c r="L383" t="inlineStr">
        <is>
          <t>PR-2026-1651</t>
        </is>
      </c>
      <c r="M383" t="inlineStr">
        <is>
          <t>PR Raised</t>
        </is>
      </c>
    </row>
    <row r="384">
      <c r="A384" t="n">
        <v>383</v>
      </c>
      <c r="B384" t="n">
        <v>17</v>
      </c>
      <c r="C384" t="inlineStr">
        <is>
          <t>Diagnostic &amp; repair tools</t>
        </is>
      </c>
      <c r="D384" t="inlineStr">
        <is>
          <t>17-A Hand Tools</t>
        </is>
      </c>
      <c r="E384" s="24" t="inlineStr">
        <is>
          <t>Drill Bit - Step, HSS</t>
        </is>
      </c>
      <c r="F384" t="inlineStr">
        <is>
          <t>1</t>
        </is>
      </c>
      <c r="G384" s="26" t="inlineStr">
        <is>
          <t>Not consumable</t>
        </is>
      </c>
      <c r="H384" s="24" t="inlineStr">
        <is>
          <t>Durable equipment / spare component</t>
        </is>
      </c>
      <c r="I384" t="inlineStr">
        <is>
          <t>Kaustubh</t>
        </is>
      </c>
      <c r="J384" t="inlineStr">
        <is>
          <t>India</t>
        </is>
      </c>
      <c r="K384" t="inlineStr">
        <is>
          <t>No</t>
        </is>
      </c>
      <c r="L384" t="inlineStr">
        <is>
          <t>PR-2026-1647</t>
        </is>
      </c>
      <c r="M384" t="inlineStr">
        <is>
          <t>In stock</t>
        </is>
      </c>
      <c r="N384" t="inlineStr">
        <is>
          <t>NY Stationary (stays in NY inventory)</t>
        </is>
      </c>
    </row>
    <row r="385">
      <c r="A385" t="n">
        <v>384</v>
      </c>
      <c r="B385" t="n">
        <v>17</v>
      </c>
      <c r="C385" t="inlineStr">
        <is>
          <t>Diagnostic &amp; repair tools</t>
        </is>
      </c>
      <c r="D385" t="inlineStr">
        <is>
          <t>17-A Hand Tools</t>
        </is>
      </c>
      <c r="E385" s="24" t="inlineStr">
        <is>
          <t>Tap &amp; Die Set - HSS</t>
        </is>
      </c>
      <c r="F385" t="inlineStr">
        <is>
          <t>1</t>
        </is>
      </c>
      <c r="G385" s="26" t="inlineStr">
        <is>
          <t>Not consumable</t>
        </is>
      </c>
      <c r="H385" s="24" t="inlineStr">
        <is>
          <t>Durable equipment / spare component</t>
        </is>
      </c>
      <c r="I385" t="inlineStr">
        <is>
          <t>Kaustubh</t>
        </is>
      </c>
      <c r="J385" t="inlineStr">
        <is>
          <t>India</t>
        </is>
      </c>
      <c r="K385" t="inlineStr">
        <is>
          <t>No</t>
        </is>
      </c>
      <c r="L385" t="inlineStr">
        <is>
          <t>PR-2026-1646</t>
        </is>
      </c>
      <c r="M385" t="inlineStr">
        <is>
          <t>PR Raised</t>
        </is>
      </c>
      <c r="N385" t="inlineStr">
        <is>
          <t>NY Stationary (stays in NY inventory)</t>
        </is>
      </c>
    </row>
    <row r="386">
      <c r="A386" t="n">
        <v>385</v>
      </c>
      <c r="B386" t="n">
        <v>17</v>
      </c>
      <c r="C386" t="inlineStr">
        <is>
          <t>Diagnostic &amp; repair tools</t>
        </is>
      </c>
      <c r="D386" t="inlineStr">
        <is>
          <t>17-A Hand Tools</t>
        </is>
      </c>
      <c r="E386" s="24" t="inlineStr">
        <is>
          <t>Measuring</t>
        </is>
      </c>
      <c r="F386" t="inlineStr">
        <is>
          <t>1</t>
        </is>
      </c>
      <c r="G386" s="26" t="inlineStr">
        <is>
          <t>Not consumable</t>
        </is>
      </c>
      <c r="H386" s="24" t="inlineStr">
        <is>
          <t>Durable equipment / spare component</t>
        </is>
      </c>
      <c r="I386" t="inlineStr">
        <is>
          <t>Kaustubh</t>
        </is>
      </c>
      <c r="J386" t="inlineStr">
        <is>
          <t>India</t>
        </is>
      </c>
      <c r="K386" t="inlineStr">
        <is>
          <t>No</t>
        </is>
      </c>
      <c r="M386" t="inlineStr">
        <is>
          <t>In stock</t>
        </is>
      </c>
      <c r="N386" t="inlineStr">
        <is>
          <t>NY Stationary (stays in NY inventory)</t>
        </is>
      </c>
    </row>
    <row r="387">
      <c r="A387" t="n">
        <v>386</v>
      </c>
      <c r="B387" t="n">
        <v>17</v>
      </c>
      <c r="C387" t="inlineStr">
        <is>
          <t>Diagnostic &amp; repair tools</t>
        </is>
      </c>
      <c r="D387" t="inlineStr">
        <is>
          <t>17-A Hand Tools</t>
        </is>
      </c>
      <c r="E387" s="24" t="inlineStr">
        <is>
          <t>Allen Key Set - Ball End</t>
        </is>
      </c>
      <c r="F387" t="inlineStr">
        <is>
          <t>1</t>
        </is>
      </c>
      <c r="G387" s="26" t="inlineStr">
        <is>
          <t>Not consumable</t>
        </is>
      </c>
      <c r="H387" s="24" t="inlineStr">
        <is>
          <t>Durable equipment / spare component</t>
        </is>
      </c>
      <c r="I387" t="inlineStr">
        <is>
          <t>Kaustubh</t>
        </is>
      </c>
      <c r="J387" t="inlineStr">
        <is>
          <t>India</t>
        </is>
      </c>
      <c r="K387" t="inlineStr">
        <is>
          <t>No</t>
        </is>
      </c>
      <c r="L387" t="inlineStr">
        <is>
          <t>PR-2026-1648</t>
        </is>
      </c>
      <c r="M387" t="inlineStr">
        <is>
          <t>In stock</t>
        </is>
      </c>
      <c r="N387" t="inlineStr">
        <is>
          <t>NY Stationary (stays in NY inventory)</t>
        </is>
      </c>
    </row>
    <row r="388">
      <c r="A388" t="n">
        <v>387</v>
      </c>
      <c r="B388" t="n">
        <v>2</v>
      </c>
      <c r="C388" t="inlineStr">
        <is>
          <t>Bringup Kit</t>
        </is>
      </c>
      <c r="D388" t="inlineStr">
        <is>
          <t>17-A Hand Tools</t>
        </is>
      </c>
      <c r="E388" s="24" t="inlineStr">
        <is>
          <t>Ratchet Set</t>
        </is>
      </c>
      <c r="F388" t="inlineStr">
        <is>
          <t>1</t>
        </is>
      </c>
      <c r="G388" s="26" t="inlineStr">
        <is>
          <t>Not consumable</t>
        </is>
      </c>
      <c r="H388" s="24" t="inlineStr">
        <is>
          <t>Durable equipment / spare component</t>
        </is>
      </c>
      <c r="I388" t="inlineStr">
        <is>
          <t>Kaustubh</t>
        </is>
      </c>
      <c r="J388" t="inlineStr">
        <is>
          <t>India</t>
        </is>
      </c>
      <c r="K388" t="inlineStr">
        <is>
          <t>No</t>
        </is>
      </c>
      <c r="L388" t="inlineStr">
        <is>
          <t>PR-2026-1579</t>
        </is>
      </c>
      <c r="M388" t="inlineStr">
        <is>
          <t>In stock</t>
        </is>
      </c>
      <c r="N388" t="inlineStr">
        <is>
          <t>Mobile (travels with robot)</t>
        </is>
      </c>
    </row>
    <row r="389">
      <c r="A389" t="n">
        <v>388</v>
      </c>
      <c r="B389" t="n">
        <v>17</v>
      </c>
      <c r="C389" t="inlineStr">
        <is>
          <t>Diagnostic &amp; repair tools</t>
        </is>
      </c>
      <c r="D389" t="inlineStr">
        <is>
          <t>17-A Hand Tools</t>
        </is>
      </c>
      <c r="E389" s="24" t="inlineStr">
        <is>
          <t>Caulking Gun</t>
        </is>
      </c>
      <c r="F389" t="inlineStr">
        <is>
          <t>1</t>
        </is>
      </c>
      <c r="G389" s="26" t="inlineStr">
        <is>
          <t>Not consumable</t>
        </is>
      </c>
      <c r="H389" s="24" t="inlineStr">
        <is>
          <t>Durable equipment / spare component</t>
        </is>
      </c>
      <c r="I389" t="inlineStr">
        <is>
          <t>Kaustubh</t>
        </is>
      </c>
      <c r="J389" t="inlineStr">
        <is>
          <t>India</t>
        </is>
      </c>
      <c r="K389" t="inlineStr">
        <is>
          <t>No</t>
        </is>
      </c>
      <c r="M389" t="inlineStr">
        <is>
          <t>In stock</t>
        </is>
      </c>
      <c r="N389" t="inlineStr">
        <is>
          <t>Mobile (travels with robot)</t>
        </is>
      </c>
    </row>
    <row r="390">
      <c r="A390" t="n">
        <v>389</v>
      </c>
      <c r="B390" t="n">
        <v>17</v>
      </c>
      <c r="C390" t="inlineStr">
        <is>
          <t>Diagnostic &amp; repair tools</t>
        </is>
      </c>
      <c r="D390" t="inlineStr">
        <is>
          <t>17-A Hand Tools</t>
        </is>
      </c>
      <c r="E390" s="24" t="inlineStr">
        <is>
          <t>Caulking Gun Nozzle</t>
        </is>
      </c>
      <c r="F390" t="inlineStr">
        <is>
          <t>5</t>
        </is>
      </c>
      <c r="G390" s="25" t="inlineStr">
        <is>
          <t>Consumable</t>
        </is>
      </c>
      <c r="H390" s="24" t="inlineStr">
        <is>
          <t>Wear/disposable item replaced routinely</t>
        </is>
      </c>
      <c r="I390" t="inlineStr">
        <is>
          <t>Kaustubh</t>
        </is>
      </c>
      <c r="J390" t="inlineStr">
        <is>
          <t>India</t>
        </is>
      </c>
      <c r="K390" t="inlineStr">
        <is>
          <t>No</t>
        </is>
      </c>
      <c r="M390" t="inlineStr">
        <is>
          <t>In stock</t>
        </is>
      </c>
      <c r="N390" t="inlineStr">
        <is>
          <t>Mobile (travels with robot)</t>
        </is>
      </c>
    </row>
    <row r="391">
      <c r="A391" t="n">
        <v>390</v>
      </c>
      <c r="B391" t="n">
        <v>17</v>
      </c>
      <c r="C391" t="inlineStr">
        <is>
          <t>Diagnostic &amp; repair tools</t>
        </is>
      </c>
      <c r="D391" t="inlineStr">
        <is>
          <t>17-A Hand Tools</t>
        </is>
      </c>
      <c r="E391" s="24" t="inlineStr">
        <is>
          <t>Screwdriver Set - Precision (small bits)</t>
        </is>
      </c>
      <c r="F391" t="inlineStr">
        <is>
          <t>1</t>
        </is>
      </c>
      <c r="G391" s="26" t="inlineStr">
        <is>
          <t>Not consumable</t>
        </is>
      </c>
      <c r="H391" s="24" t="inlineStr">
        <is>
          <t>Durable equipment / spare component</t>
        </is>
      </c>
      <c r="I391" t="inlineStr">
        <is>
          <t>Badri</t>
        </is>
      </c>
      <c r="J391" t="inlineStr">
        <is>
          <t>India</t>
        </is>
      </c>
      <c r="K391" t="inlineStr">
        <is>
          <t>No</t>
        </is>
      </c>
      <c r="M391" t="inlineStr">
        <is>
          <t>PR Raised</t>
        </is>
      </c>
    </row>
    <row r="392">
      <c r="A392" t="n">
        <v>391</v>
      </c>
      <c r="B392" t="n">
        <v>17</v>
      </c>
      <c r="C392" t="inlineStr">
        <is>
          <t>Bringup Kit</t>
        </is>
      </c>
      <c r="D392" t="inlineStr">
        <is>
          <t>17-A Hand Tools</t>
        </is>
      </c>
      <c r="E392" s="24" t="inlineStr">
        <is>
          <t>Screwdriver - Flat Head, 6-8 mm tip (medium) - unpacking</t>
        </is>
      </c>
      <c r="F392" t="inlineStr">
        <is>
          <t>1</t>
        </is>
      </c>
      <c r="G392" s="26" t="inlineStr">
        <is>
          <t>Not consumable</t>
        </is>
      </c>
      <c r="H392" s="24" t="inlineStr">
        <is>
          <t>Durable equipment / spare component</t>
        </is>
      </c>
      <c r="I392" t="inlineStr">
        <is>
          <t>Kaustubh</t>
        </is>
      </c>
      <c r="J392" t="inlineStr">
        <is>
          <t>India</t>
        </is>
      </c>
      <c r="K392" t="inlineStr">
        <is>
          <t>No</t>
        </is>
      </c>
      <c r="L392" t="inlineStr">
        <is>
          <t>PR-2026-1577</t>
        </is>
      </c>
      <c r="M392" t="inlineStr">
        <is>
          <t>PR Raised</t>
        </is>
      </c>
    </row>
    <row r="393">
      <c r="A393" t="n">
        <v>392</v>
      </c>
      <c r="B393" t="n">
        <v>17</v>
      </c>
      <c r="C393" t="inlineStr">
        <is>
          <t>Diagnostic &amp; repair tools</t>
        </is>
      </c>
      <c r="D393" t="inlineStr">
        <is>
          <t>17-A Hand Tools</t>
        </is>
      </c>
      <c r="E393" s="24" t="inlineStr">
        <is>
          <t>Scissors - Heavy Duty - unpacking</t>
        </is>
      </c>
      <c r="F393" t="inlineStr">
        <is>
          <t>1</t>
        </is>
      </c>
      <c r="G393" s="26" t="inlineStr">
        <is>
          <t>Not consumable</t>
        </is>
      </c>
      <c r="H393" s="24" t="inlineStr">
        <is>
          <t>Durable equipment / spare component</t>
        </is>
      </c>
      <c r="I393" t="inlineStr">
        <is>
          <t>Kaustubh</t>
        </is>
      </c>
      <c r="J393" t="inlineStr">
        <is>
          <t>India</t>
        </is>
      </c>
      <c r="K393" t="inlineStr">
        <is>
          <t>No</t>
        </is>
      </c>
      <c r="L393" t="inlineStr">
        <is>
          <t>PR-2026-1578</t>
        </is>
      </c>
      <c r="M393" t="inlineStr">
        <is>
          <t>PR Raised</t>
        </is>
      </c>
    </row>
    <row r="394">
      <c r="A394" t="n">
        <v>393</v>
      </c>
      <c r="B394" t="n">
        <v>17</v>
      </c>
      <c r="C394" t="inlineStr">
        <is>
          <t>Diagnostic &amp; repair tools</t>
        </is>
      </c>
      <c r="D394" t="inlineStr">
        <is>
          <t>17-C Measurement Instruments</t>
        </is>
      </c>
      <c r="E394" s="24" t="inlineStr">
        <is>
          <t>Oscilloscope - Portable, PicoScope 2204A</t>
        </is>
      </c>
      <c r="F394" t="inlineStr">
        <is>
          <t>1</t>
        </is>
      </c>
      <c r="G394" s="26" t="inlineStr">
        <is>
          <t>Not consumable</t>
        </is>
      </c>
      <c r="H394" s="24" t="inlineStr">
        <is>
          <t>Durable equipment / spare component</t>
        </is>
      </c>
      <c r="I394" t="inlineStr">
        <is>
          <t>Aravind</t>
        </is>
      </c>
      <c r="J394" t="inlineStr">
        <is>
          <t>Buy in US</t>
        </is>
      </c>
      <c r="K394" t="inlineStr">
        <is>
          <t>No</t>
        </is>
      </c>
      <c r="M394" t="inlineStr">
        <is>
          <t>To be purchased</t>
        </is>
      </c>
    </row>
    <row r="395">
      <c r="A395" t="n">
        <v>394</v>
      </c>
      <c r="B395" t="n">
        <v>17</v>
      </c>
      <c r="C395" t="inlineStr">
        <is>
          <t>Diagnostic &amp; repair tools</t>
        </is>
      </c>
      <c r="D395" t="inlineStr">
        <is>
          <t>17-C Measurement Instruments</t>
        </is>
      </c>
      <c r="E395" s="24" t="inlineStr">
        <is>
          <t>Power Supply - Bench Regulated, 60 V / 5 A</t>
        </is>
      </c>
      <c r="F395" t="inlineStr">
        <is>
          <t>1</t>
        </is>
      </c>
      <c r="G395" s="26" t="inlineStr">
        <is>
          <t>Not consumable</t>
        </is>
      </c>
      <c r="H395" s="24" t="inlineStr">
        <is>
          <t>Durable equipment / spare component</t>
        </is>
      </c>
      <c r="I395" t="inlineStr">
        <is>
          <t>Aravind</t>
        </is>
      </c>
      <c r="J395" t="inlineStr">
        <is>
          <t>Buy in US</t>
        </is>
      </c>
      <c r="K395" t="inlineStr">
        <is>
          <t>No</t>
        </is>
      </c>
      <c r="M395" t="inlineStr">
        <is>
          <t>To be purchased</t>
        </is>
      </c>
    </row>
    <row r="396">
      <c r="A396" t="n">
        <v>395</v>
      </c>
      <c r="B396" t="n">
        <v>17</v>
      </c>
      <c r="C396" t="inlineStr">
        <is>
          <t>Diagnostic &amp; repair tools</t>
        </is>
      </c>
      <c r="D396" t="inlineStr">
        <is>
          <t>17-A Hand Tools</t>
        </is>
      </c>
      <c r="E396" s="24" t="inlineStr">
        <is>
          <t>Center Punch</t>
        </is>
      </c>
      <c r="F396" t="inlineStr">
        <is>
          <t>1</t>
        </is>
      </c>
      <c r="G396" s="26" t="inlineStr">
        <is>
          <t>Not consumable</t>
        </is>
      </c>
      <c r="H396" s="24" t="inlineStr">
        <is>
          <t>Durable equipment / spare component</t>
        </is>
      </c>
      <c r="I396" t="inlineStr">
        <is>
          <t>Kaustubh</t>
        </is>
      </c>
      <c r="J396" t="inlineStr">
        <is>
          <t>India</t>
        </is>
      </c>
      <c r="K396" t="inlineStr">
        <is>
          <t>No</t>
        </is>
      </c>
      <c r="M396" t="inlineStr">
        <is>
          <t>In stock</t>
        </is>
      </c>
      <c r="N396" t="inlineStr">
        <is>
          <t>NY Stationary (stays in NY inventory)</t>
        </is>
      </c>
    </row>
    <row r="397">
      <c r="A397" t="n">
        <v>396</v>
      </c>
      <c r="B397" t="n">
        <v>17</v>
      </c>
      <c r="C397" t="inlineStr">
        <is>
          <t>Diagnostic &amp; repair tools</t>
        </is>
      </c>
      <c r="D397" t="inlineStr">
        <is>
          <t>17-D Soldering &amp; Hot Work</t>
        </is>
      </c>
      <c r="E397" s="24" t="inlineStr">
        <is>
          <t>Heat Gun - Hot Air</t>
        </is>
      </c>
      <c r="F397" t="inlineStr">
        <is>
          <t>1</t>
        </is>
      </c>
      <c r="G397" s="26" t="inlineStr">
        <is>
          <t>Not consumable</t>
        </is>
      </c>
      <c r="H397" s="24" t="inlineStr">
        <is>
          <t>Durable equipment / spare component</t>
        </is>
      </c>
      <c r="I397" t="inlineStr">
        <is>
          <t>Badri</t>
        </is>
      </c>
      <c r="J397" t="inlineStr">
        <is>
          <t>India</t>
        </is>
      </c>
      <c r="K397" t="inlineStr">
        <is>
          <t>No</t>
        </is>
      </c>
      <c r="M397" t="inlineStr">
        <is>
          <t>PR Raised</t>
        </is>
      </c>
    </row>
    <row r="398">
      <c r="A398" t="n">
        <v>397</v>
      </c>
      <c r="B398" t="n">
        <v>17</v>
      </c>
      <c r="C398" t="inlineStr">
        <is>
          <t>Diagnostic &amp; repair tools</t>
        </is>
      </c>
      <c r="D398" t="inlineStr">
        <is>
          <t>17-E Debug Adapters &amp; Converters</t>
        </is>
      </c>
      <c r="E398" s="24" t="inlineStr">
        <is>
          <t>Display - Portable Monitor, DisplayPort</t>
        </is>
      </c>
      <c r="F398" t="inlineStr">
        <is>
          <t>1</t>
        </is>
      </c>
      <c r="G398" s="26" t="inlineStr">
        <is>
          <t>Not consumable</t>
        </is>
      </c>
      <c r="H398" s="24" t="inlineStr">
        <is>
          <t>Durable equipment / spare component</t>
        </is>
      </c>
      <c r="I398" t="inlineStr">
        <is>
          <t>Aravind</t>
        </is>
      </c>
      <c r="J398" t="inlineStr">
        <is>
          <t>Buy in US</t>
        </is>
      </c>
      <c r="K398" t="inlineStr">
        <is>
          <t>No</t>
        </is>
      </c>
      <c r="M398" t="inlineStr">
        <is>
          <t>To be purchased</t>
        </is>
      </c>
    </row>
    <row r="399">
      <c r="A399" t="n">
        <v>398</v>
      </c>
      <c r="B399" t="n">
        <v>17</v>
      </c>
      <c r="C399" t="inlineStr">
        <is>
          <t>Diagnostic &amp; repair tools</t>
        </is>
      </c>
      <c r="D399" t="inlineStr">
        <is>
          <t>17-E Debug Adapters &amp; Converters</t>
        </is>
      </c>
      <c r="E399" s="24" t="inlineStr">
        <is>
          <t>Adapter - UR Teach Pendant Display</t>
        </is>
      </c>
      <c r="F399" t="inlineStr">
        <is>
          <t>1</t>
        </is>
      </c>
      <c r="G399" s="26" t="inlineStr">
        <is>
          <t>Not consumable</t>
        </is>
      </c>
      <c r="H399" s="24" t="inlineStr">
        <is>
          <t>Durable equipment / spare component</t>
        </is>
      </c>
      <c r="I399" t="inlineStr">
        <is>
          <t>Badri</t>
        </is>
      </c>
      <c r="J399" t="inlineStr">
        <is>
          <t>India</t>
        </is>
      </c>
      <c r="K399" t="inlineStr">
        <is>
          <t>No</t>
        </is>
      </c>
      <c r="M399" t="inlineStr">
        <is>
          <t>PR Raised</t>
        </is>
      </c>
    </row>
    <row r="400">
      <c r="A400" t="n">
        <v>399</v>
      </c>
      <c r="B400" t="n">
        <v>17</v>
      </c>
      <c r="C400" t="inlineStr">
        <is>
          <t>Diagnostic &amp; repair tools</t>
        </is>
      </c>
      <c r="D400" t="inlineStr">
        <is>
          <t>17-E Debug Adapters &amp; Converters</t>
        </is>
      </c>
      <c r="E400" s="24" t="inlineStr">
        <is>
          <t>Cable -  LP16 8 Pin panel mount with can debug JST Connector</t>
        </is>
      </c>
      <c r="F400" t="inlineStr">
        <is>
          <t>1.0</t>
        </is>
      </c>
      <c r="G400" s="26" t="inlineStr">
        <is>
          <t>Not consumable</t>
        </is>
      </c>
      <c r="H400" s="24" t="inlineStr">
        <is>
          <t>Durable equipment / spare component</t>
        </is>
      </c>
      <c r="I400" t="inlineStr">
        <is>
          <t>Uttez</t>
        </is>
      </c>
      <c r="J400" t="inlineStr">
        <is>
          <t>India</t>
        </is>
      </c>
      <c r="K400" t="inlineStr">
        <is>
          <t>No</t>
        </is>
      </c>
      <c r="M400" t="inlineStr">
        <is>
          <t>To be Prepared</t>
        </is>
      </c>
    </row>
    <row r="401">
      <c r="A401" t="n">
        <v>400</v>
      </c>
      <c r="B401" t="n">
        <v>17</v>
      </c>
      <c r="C401" t="inlineStr">
        <is>
          <t>Diagnostic &amp; repair tools</t>
        </is>
      </c>
      <c r="D401" t="inlineStr">
        <is>
          <t>17-F Safety Gear (PPE)</t>
        </is>
      </c>
      <c r="E401" s="24" t="inlineStr">
        <is>
          <t>PPE - Rubber Boots</t>
        </is>
      </c>
      <c r="F401" t="inlineStr">
        <is>
          <t>1</t>
        </is>
      </c>
      <c r="G401" s="27" t="inlineStr">
        <is>
          <t>Borderline</t>
        </is>
      </c>
      <c r="H401" s="24" t="inlineStr">
        <is>
          <t>Reusable PPE - replaced on wear, not per use</t>
        </is>
      </c>
      <c r="I401" t="inlineStr">
        <is>
          <t>Kaustubh</t>
        </is>
      </c>
      <c r="J401" t="inlineStr">
        <is>
          <t>India</t>
        </is>
      </c>
      <c r="K401" t="inlineStr">
        <is>
          <t>No</t>
        </is>
      </c>
      <c r="M401" t="inlineStr">
        <is>
          <t>Hold</t>
        </is>
      </c>
      <c r="N401" t="inlineStr">
        <is>
          <t>Mobile (travels with robot)</t>
        </is>
      </c>
    </row>
    <row r="402">
      <c r="A402" t="n">
        <v>401</v>
      </c>
      <c r="B402" t="n">
        <v>18</v>
      </c>
      <c r="C402" t="inlineStr">
        <is>
          <t>Consumables</t>
        </is>
      </c>
      <c r="D402" t="inlineStr">
        <is>
          <t>18-A Tapes</t>
        </is>
      </c>
      <c r="E402" s="24" t="inlineStr">
        <is>
          <t>Gasket Strip - Rubber Channel, Self-Adhesive (Tintvent), thin</t>
        </is>
      </c>
      <c r="F402" t="inlineStr">
        <is>
          <t>1</t>
        </is>
      </c>
      <c r="G402" s="25" t="inlineStr">
        <is>
          <t>Consumable</t>
        </is>
      </c>
      <c r="H402" s="24" t="inlineStr">
        <is>
          <t>Box 18 - declared consumable</t>
        </is>
      </c>
      <c r="I402" t="inlineStr">
        <is>
          <t>Kaustubh</t>
        </is>
      </c>
      <c r="J402" t="inlineStr">
        <is>
          <t>India</t>
        </is>
      </c>
      <c r="K402" t="inlineStr">
        <is>
          <t>No</t>
        </is>
      </c>
      <c r="L402" t="inlineStr">
        <is>
          <t>PR-2026-1667</t>
        </is>
      </c>
      <c r="M402" t="inlineStr">
        <is>
          <t>PR Raised</t>
        </is>
      </c>
      <c r="N402" t="inlineStr">
        <is>
          <t>NY Stationary (stays in NY inventory)</t>
        </is>
      </c>
    </row>
    <row r="403">
      <c r="A403" t="n">
        <v>402</v>
      </c>
      <c r="B403" t="n">
        <v>18</v>
      </c>
      <c r="C403" t="inlineStr">
        <is>
          <t>Consumables</t>
        </is>
      </c>
      <c r="D403" t="inlineStr">
        <is>
          <t>18-A Tapes</t>
        </is>
      </c>
      <c r="E403" s="24" t="inlineStr">
        <is>
          <t>Tape - Cloth (gaffer)</t>
        </is>
      </c>
      <c r="F403" t="inlineStr">
        <is>
          <t>5</t>
        </is>
      </c>
      <c r="G403" s="25" t="inlineStr">
        <is>
          <t>Consumable</t>
        </is>
      </c>
      <c r="H403" s="24" t="inlineStr">
        <is>
          <t>Box 18 - declared consumable</t>
        </is>
      </c>
      <c r="I403" t="inlineStr">
        <is>
          <t>Badri</t>
        </is>
      </c>
      <c r="J403" t="inlineStr">
        <is>
          <t>India</t>
        </is>
      </c>
      <c r="K403" t="inlineStr">
        <is>
          <t>No</t>
        </is>
      </c>
      <c r="M403" t="inlineStr">
        <is>
          <t>PR Raised</t>
        </is>
      </c>
      <c r="N403" t="inlineStr">
        <is>
          <t>Mobile (travels with robot)</t>
        </is>
      </c>
    </row>
    <row r="404">
      <c r="A404" t="n">
        <v>403</v>
      </c>
      <c r="B404" t="n">
        <v>18</v>
      </c>
      <c r="C404" t="inlineStr">
        <is>
          <t>Consumables</t>
        </is>
      </c>
      <c r="D404" t="inlineStr">
        <is>
          <t>18-A Tapes</t>
        </is>
      </c>
      <c r="E404" s="24" t="inlineStr">
        <is>
          <t>Tape - Copper Foil</t>
        </is>
      </c>
      <c r="F404" t="inlineStr">
        <is>
          <t>2</t>
        </is>
      </c>
      <c r="G404" s="25" t="inlineStr">
        <is>
          <t>Consumable</t>
        </is>
      </c>
      <c r="H404" s="24" t="inlineStr">
        <is>
          <t>Box 18 - declared consumable</t>
        </is>
      </c>
      <c r="I404" t="inlineStr">
        <is>
          <t>Badri</t>
        </is>
      </c>
      <c r="J404" t="inlineStr">
        <is>
          <t>India</t>
        </is>
      </c>
      <c r="K404" t="inlineStr">
        <is>
          <t>No</t>
        </is>
      </c>
      <c r="M404" t="inlineStr">
        <is>
          <t>PR Raised</t>
        </is>
      </c>
      <c r="N404" t="inlineStr">
        <is>
          <t>Mobile (travels with robot)</t>
        </is>
      </c>
    </row>
    <row r="405">
      <c r="A405" t="n">
        <v>404</v>
      </c>
      <c r="B405" t="n">
        <v>18</v>
      </c>
      <c r="C405" t="inlineStr">
        <is>
          <t>Consumables</t>
        </is>
      </c>
      <c r="D405" t="inlineStr">
        <is>
          <t>18-A Tapes</t>
        </is>
      </c>
      <c r="E405" s="24" t="inlineStr">
        <is>
          <t>Tape - Kapton (polyimide)</t>
        </is>
      </c>
      <c r="F405" t="inlineStr">
        <is>
          <t>1</t>
        </is>
      </c>
      <c r="G405" s="25" t="inlineStr">
        <is>
          <t>Consumable</t>
        </is>
      </c>
      <c r="H405" s="24" t="inlineStr">
        <is>
          <t>Box 18 - declared consumable</t>
        </is>
      </c>
      <c r="I405" t="inlineStr">
        <is>
          <t>Badri</t>
        </is>
      </c>
      <c r="J405" t="inlineStr">
        <is>
          <t>India</t>
        </is>
      </c>
      <c r="K405" t="inlineStr">
        <is>
          <t>No</t>
        </is>
      </c>
      <c r="M405" t="inlineStr">
        <is>
          <t>PR Raised</t>
        </is>
      </c>
    </row>
    <row r="406">
      <c r="A406" t="n">
        <v>405</v>
      </c>
      <c r="B406" t="n">
        <v>18</v>
      </c>
      <c r="C406" t="inlineStr">
        <is>
          <t>Consumables</t>
        </is>
      </c>
      <c r="D406" t="inlineStr">
        <is>
          <t>18-A Tapes</t>
        </is>
      </c>
      <c r="E406" s="24" t="inlineStr">
        <is>
          <t>Tape - Double-Sided, 3M</t>
        </is>
      </c>
      <c r="F406" t="inlineStr">
        <is>
          <t>4.0</t>
        </is>
      </c>
      <c r="G406" s="25" t="inlineStr">
        <is>
          <t>Consumable</t>
        </is>
      </c>
      <c r="H406" s="24" t="inlineStr">
        <is>
          <t>Box 18 - declared consumable</t>
        </is>
      </c>
      <c r="I406" t="inlineStr">
        <is>
          <t>Kaustubh</t>
        </is>
      </c>
      <c r="J406" t="inlineStr">
        <is>
          <t>India</t>
        </is>
      </c>
      <c r="K406" t="inlineStr">
        <is>
          <t>No</t>
        </is>
      </c>
      <c r="M406" t="inlineStr">
        <is>
          <t>In stock</t>
        </is>
      </c>
      <c r="N406" t="inlineStr">
        <is>
          <t>Mobile (travels with robot)</t>
        </is>
      </c>
    </row>
    <row r="407">
      <c r="A407" t="n">
        <v>406</v>
      </c>
      <c r="B407" t="n">
        <v>18</v>
      </c>
      <c r="C407" t="inlineStr">
        <is>
          <t>Consumables</t>
        </is>
      </c>
      <c r="D407" t="inlineStr">
        <is>
          <t>18-A Tapes</t>
        </is>
      </c>
      <c r="E407" s="24" t="inlineStr">
        <is>
          <t>Tape - Duct</t>
        </is>
      </c>
      <c r="F407" t="inlineStr">
        <is>
          <t>1</t>
        </is>
      </c>
      <c r="G407" s="25" t="inlineStr">
        <is>
          <t>Consumable</t>
        </is>
      </c>
      <c r="H407" s="24" t="inlineStr">
        <is>
          <t>Box 18 - declared consumable</t>
        </is>
      </c>
      <c r="I407" t="inlineStr">
        <is>
          <t>Kaustubh</t>
        </is>
      </c>
      <c r="J407" t="inlineStr">
        <is>
          <t>Buy in US</t>
        </is>
      </c>
      <c r="K407" t="inlineStr">
        <is>
          <t>No</t>
        </is>
      </c>
      <c r="M407" t="inlineStr">
        <is>
          <t>In stock</t>
        </is>
      </c>
      <c r="N407" t="inlineStr">
        <is>
          <t>Mobile (travels with robot)</t>
        </is>
      </c>
    </row>
    <row r="408">
      <c r="A408" t="n">
        <v>407</v>
      </c>
      <c r="B408" t="n">
        <v>18</v>
      </c>
      <c r="C408" t="inlineStr">
        <is>
          <t>Consumables</t>
        </is>
      </c>
      <c r="D408" t="inlineStr">
        <is>
          <t>18-A Tapes</t>
        </is>
      </c>
      <c r="E408" s="24" t="inlineStr">
        <is>
          <t>Tape - Thermal</t>
        </is>
      </c>
      <c r="F408" t="inlineStr">
        <is>
          <t>1</t>
        </is>
      </c>
      <c r="G408" s="25" t="inlineStr">
        <is>
          <t>Consumable</t>
        </is>
      </c>
      <c r="H408" s="24" t="inlineStr">
        <is>
          <t>Box 18 - declared consumable</t>
        </is>
      </c>
      <c r="I408" t="inlineStr">
        <is>
          <t>Kaustubh</t>
        </is>
      </c>
      <c r="J408" t="inlineStr">
        <is>
          <t>India</t>
        </is>
      </c>
      <c r="K408" t="inlineStr">
        <is>
          <t>No</t>
        </is>
      </c>
      <c r="M408" t="inlineStr">
        <is>
          <t>In stock</t>
        </is>
      </c>
      <c r="N408" t="inlineStr">
        <is>
          <t>Mobile (travels with robot)</t>
        </is>
      </c>
    </row>
    <row r="409">
      <c r="A409" t="n">
        <v>408</v>
      </c>
      <c r="B409" t="n">
        <v>18</v>
      </c>
      <c r="C409" t="inlineStr">
        <is>
          <t>Consumables</t>
        </is>
      </c>
      <c r="D409" t="inlineStr">
        <is>
          <t>18-A Tapes</t>
        </is>
      </c>
      <c r="E409" s="24" t="inlineStr">
        <is>
          <t>Tape - Butyl</t>
        </is>
      </c>
      <c r="F409" t="inlineStr">
        <is>
          <t>1</t>
        </is>
      </c>
      <c r="G409" s="25" t="inlineStr">
        <is>
          <t>Consumable</t>
        </is>
      </c>
      <c r="H409" s="24" t="inlineStr">
        <is>
          <t>Box 18 - declared consumable</t>
        </is>
      </c>
      <c r="I409" t="inlineStr">
        <is>
          <t>Kaustubh</t>
        </is>
      </c>
      <c r="J409" t="inlineStr">
        <is>
          <t>Buy in US</t>
        </is>
      </c>
      <c r="K409" t="inlineStr">
        <is>
          <t>No</t>
        </is>
      </c>
      <c r="M409" t="inlineStr">
        <is>
          <t>In stock</t>
        </is>
      </c>
      <c r="N409" t="inlineStr">
        <is>
          <t>Mobile (travels with robot)</t>
        </is>
      </c>
    </row>
    <row r="410">
      <c r="A410" t="n">
        <v>409</v>
      </c>
      <c r="B410" t="n">
        <v>18</v>
      </c>
      <c r="C410" t="inlineStr">
        <is>
          <t>Consumables</t>
        </is>
      </c>
      <c r="D410" t="inlineStr">
        <is>
          <t>18-A Tapes</t>
        </is>
      </c>
      <c r="E410" s="24" t="inlineStr">
        <is>
          <t>Tape - Gasket Foam, 6 mm, Single-Sided</t>
        </is>
      </c>
      <c r="F410" t="inlineStr">
        <is>
          <t>1</t>
        </is>
      </c>
      <c r="G410" s="25" t="inlineStr">
        <is>
          <t>Consumable</t>
        </is>
      </c>
      <c r="H410" s="24" t="inlineStr">
        <is>
          <t>Box 18 - declared consumable</t>
        </is>
      </c>
      <c r="I410" t="inlineStr">
        <is>
          <t>Kaustubh</t>
        </is>
      </c>
      <c r="J410" t="inlineStr">
        <is>
          <t>India</t>
        </is>
      </c>
      <c r="K410" t="inlineStr">
        <is>
          <t>No</t>
        </is>
      </c>
      <c r="M410" t="inlineStr">
        <is>
          <t>In stock</t>
        </is>
      </c>
      <c r="N410" t="inlineStr">
        <is>
          <t>Mobile (travels with robot)</t>
        </is>
      </c>
    </row>
    <row r="411">
      <c r="A411" t="n">
        <v>410</v>
      </c>
      <c r="B411" t="n">
        <v>18</v>
      </c>
      <c r="C411" t="inlineStr">
        <is>
          <t>Consumables</t>
        </is>
      </c>
      <c r="D411" t="inlineStr">
        <is>
          <t>18-A Tapes</t>
        </is>
      </c>
      <c r="E411" s="24" t="inlineStr">
        <is>
          <t>Tape - Automotive Harness</t>
        </is>
      </c>
      <c r="F411" t="inlineStr">
        <is>
          <t>1</t>
        </is>
      </c>
      <c r="G411" s="25" t="inlineStr">
        <is>
          <t>Consumable</t>
        </is>
      </c>
      <c r="H411" s="24" t="inlineStr">
        <is>
          <t>Box 18 - declared consumable</t>
        </is>
      </c>
      <c r="I411" t="inlineStr">
        <is>
          <t>Kaustubh</t>
        </is>
      </c>
      <c r="J411" t="inlineStr">
        <is>
          <t>Buy in US</t>
        </is>
      </c>
      <c r="K411" t="inlineStr">
        <is>
          <t>No</t>
        </is>
      </c>
      <c r="M411" t="inlineStr">
        <is>
          <t>In stock</t>
        </is>
      </c>
      <c r="N411" t="inlineStr">
        <is>
          <t>Mobile (travels with robot)</t>
        </is>
      </c>
    </row>
    <row r="412">
      <c r="A412" t="n">
        <v>411</v>
      </c>
      <c r="B412" t="n">
        <v>18</v>
      </c>
      <c r="C412" t="inlineStr">
        <is>
          <t>Consumables</t>
        </is>
      </c>
      <c r="D412" t="inlineStr">
        <is>
          <t>18-A Tapes</t>
        </is>
      </c>
      <c r="E412" s="24" t="inlineStr">
        <is>
          <t>Tape - Insulation (PVC electrical)</t>
        </is>
      </c>
      <c r="F412" t="inlineStr">
        <is>
          <t>1</t>
        </is>
      </c>
      <c r="G412" s="25" t="inlineStr">
        <is>
          <t>Consumable</t>
        </is>
      </c>
      <c r="H412" s="24" t="inlineStr">
        <is>
          <t>Box 18 - declared consumable</t>
        </is>
      </c>
      <c r="I412" t="inlineStr">
        <is>
          <t>Kaustubh</t>
        </is>
      </c>
      <c r="J412" t="inlineStr">
        <is>
          <t>Buy in US</t>
        </is>
      </c>
      <c r="K412" t="inlineStr">
        <is>
          <t>No</t>
        </is>
      </c>
      <c r="M412" t="inlineStr">
        <is>
          <t>In stock</t>
        </is>
      </c>
      <c r="N412" t="inlineStr">
        <is>
          <t>Mobile (travels with robot)</t>
        </is>
      </c>
    </row>
    <row r="413">
      <c r="A413" t="n">
        <v>412</v>
      </c>
      <c r="B413" t="n">
        <v>18</v>
      </c>
      <c r="C413" t="inlineStr">
        <is>
          <t>Consumables</t>
        </is>
      </c>
      <c r="D413" t="inlineStr">
        <is>
          <t>18-A Tapes</t>
        </is>
      </c>
      <c r="E413" s="24" t="inlineStr">
        <is>
          <t>Tape - PTFE / Teflon Thread Seal, PTFE-12-10</t>
        </is>
      </c>
      <c r="F413" t="inlineStr">
        <is>
          <t>1</t>
        </is>
      </c>
      <c r="G413" s="25" t="inlineStr">
        <is>
          <t>Consumable</t>
        </is>
      </c>
      <c r="H413" s="24" t="inlineStr">
        <is>
          <t>Box 18 - declared consumable</t>
        </is>
      </c>
      <c r="I413" t="inlineStr">
        <is>
          <t>Anand</t>
        </is>
      </c>
      <c r="J413" t="inlineStr">
        <is>
          <t>India</t>
        </is>
      </c>
      <c r="K413" t="inlineStr">
        <is>
          <t>No</t>
        </is>
      </c>
      <c r="M413" t="inlineStr">
        <is>
          <t>In stock</t>
        </is>
      </c>
      <c r="N413" t="inlineStr">
        <is>
          <t>Mobile (travels with robot)</t>
        </is>
      </c>
    </row>
    <row r="414">
      <c r="A414" t="n">
        <v>413</v>
      </c>
      <c r="B414" t="n">
        <v>18</v>
      </c>
      <c r="C414" t="inlineStr">
        <is>
          <t>Consumables</t>
        </is>
      </c>
      <c r="D414" t="inlineStr">
        <is>
          <t>18-B Adhesives &amp; Sealants</t>
        </is>
      </c>
      <c r="E414" s="24" t="inlineStr">
        <is>
          <t>Sealant - Polyurethane, Sika Sikaflex-221</t>
        </is>
      </c>
      <c r="F414" t="inlineStr">
        <is>
          <t>2</t>
        </is>
      </c>
      <c r="G414" s="25" t="inlineStr">
        <is>
          <t>Consumable</t>
        </is>
      </c>
      <c r="H414" s="24" t="inlineStr">
        <is>
          <t>Box 18 - declared consumable</t>
        </is>
      </c>
      <c r="I414" t="inlineStr">
        <is>
          <t>Kaustubh</t>
        </is>
      </c>
      <c r="J414" t="inlineStr">
        <is>
          <t>Buy in US</t>
        </is>
      </c>
      <c r="K414" t="inlineStr">
        <is>
          <t>No</t>
        </is>
      </c>
      <c r="M414" t="inlineStr">
        <is>
          <t>In stock</t>
        </is>
      </c>
      <c r="N414" t="inlineStr">
        <is>
          <t>Mobile (travels with robot)</t>
        </is>
      </c>
    </row>
    <row r="415">
      <c r="A415" t="n">
        <v>414</v>
      </c>
      <c r="B415" t="n">
        <v>18</v>
      </c>
      <c r="C415" t="inlineStr">
        <is>
          <t>Consumables</t>
        </is>
      </c>
      <c r="D415" t="inlineStr">
        <is>
          <t>18-B Adhesives &amp; Sealants</t>
        </is>
      </c>
      <c r="E415" s="24" t="inlineStr">
        <is>
          <t>Adhesive - Hot Melt Glue Stick</t>
        </is>
      </c>
      <c r="F415" t="inlineStr">
        <is>
          <t>1</t>
        </is>
      </c>
      <c r="G415" s="25" t="inlineStr">
        <is>
          <t>Consumable</t>
        </is>
      </c>
      <c r="H415" s="24" t="inlineStr">
        <is>
          <t>Box 18 - declared consumable</t>
        </is>
      </c>
      <c r="I415" t="inlineStr">
        <is>
          <t>Kaustubh</t>
        </is>
      </c>
      <c r="J415" t="inlineStr">
        <is>
          <t>Buy in US</t>
        </is>
      </c>
      <c r="K415" t="inlineStr">
        <is>
          <t>No</t>
        </is>
      </c>
      <c r="M415" t="inlineStr">
        <is>
          <t>To be purchased</t>
        </is>
      </c>
      <c r="N415" t="inlineStr">
        <is>
          <t>NY Stationary (stays in NY inventory)</t>
        </is>
      </c>
    </row>
    <row r="416">
      <c r="A416" t="n">
        <v>415</v>
      </c>
      <c r="B416" t="n">
        <v>18</v>
      </c>
      <c r="C416" t="inlineStr">
        <is>
          <t>Consumables</t>
        </is>
      </c>
      <c r="D416" t="inlineStr">
        <is>
          <t>18-B Adhesives &amp; Sealants</t>
        </is>
      </c>
      <c r="E416" s="24" t="inlineStr">
        <is>
          <t>Adhesive - Cyanoacrylate, Metloc 743</t>
        </is>
      </c>
      <c r="F416" t="inlineStr">
        <is>
          <t>5</t>
        </is>
      </c>
      <c r="G416" s="25" t="inlineStr">
        <is>
          <t>Consumable</t>
        </is>
      </c>
      <c r="H416" s="24" t="inlineStr">
        <is>
          <t>Box 18 - declared consumable</t>
        </is>
      </c>
      <c r="I416" t="inlineStr">
        <is>
          <t>Kaustubh</t>
        </is>
      </c>
      <c r="J416" t="inlineStr">
        <is>
          <t>Buy in US</t>
        </is>
      </c>
      <c r="K416" t="inlineStr">
        <is>
          <t>No</t>
        </is>
      </c>
      <c r="M416" t="inlineStr">
        <is>
          <t>To be purchased</t>
        </is>
      </c>
      <c r="N416" t="inlineStr">
        <is>
          <t>Mobile (travels with robot)</t>
        </is>
      </c>
    </row>
    <row r="417">
      <c r="A417" t="n">
        <v>416</v>
      </c>
      <c r="B417" t="n">
        <v>18</v>
      </c>
      <c r="C417" t="inlineStr">
        <is>
          <t>Consumables</t>
        </is>
      </c>
      <c r="D417" t="inlineStr">
        <is>
          <t>18-B Adhesives &amp; Sealants</t>
        </is>
      </c>
      <c r="E417" s="24" t="inlineStr">
        <is>
          <t>Adhesive - Epoxy Putty, M-Seal</t>
        </is>
      </c>
      <c r="F417" t="inlineStr">
        <is>
          <t>1</t>
        </is>
      </c>
      <c r="G417" s="25" t="inlineStr">
        <is>
          <t>Consumable</t>
        </is>
      </c>
      <c r="H417" s="24" t="inlineStr">
        <is>
          <t>Box 18 - declared consumable</t>
        </is>
      </c>
      <c r="I417" t="inlineStr">
        <is>
          <t>Kaustubh</t>
        </is>
      </c>
      <c r="J417" t="inlineStr">
        <is>
          <t>Buy in US</t>
        </is>
      </c>
      <c r="K417" t="inlineStr">
        <is>
          <t>No</t>
        </is>
      </c>
      <c r="M417" t="inlineStr">
        <is>
          <t>In stock</t>
        </is>
      </c>
      <c r="N417" t="inlineStr">
        <is>
          <t>NY Stationary (stays in NY inventory)</t>
        </is>
      </c>
    </row>
    <row r="418">
      <c r="A418" t="n">
        <v>417</v>
      </c>
      <c r="B418" t="n">
        <v>18</v>
      </c>
      <c r="C418" t="inlineStr">
        <is>
          <t>Consumables</t>
        </is>
      </c>
      <c r="D418" t="inlineStr">
        <is>
          <t>18-B Adhesives &amp; Sealants</t>
        </is>
      </c>
      <c r="E418" s="24" t="inlineStr">
        <is>
          <t>Adhesive - Epoxy, Araldite</t>
        </is>
      </c>
      <c r="F418" t="inlineStr">
        <is>
          <t>1</t>
        </is>
      </c>
      <c r="G418" s="25" t="inlineStr">
        <is>
          <t>Consumable</t>
        </is>
      </c>
      <c r="H418" s="24" t="inlineStr">
        <is>
          <t>Box 18 - declared consumable</t>
        </is>
      </c>
      <c r="I418" t="inlineStr">
        <is>
          <t>Kaustubh</t>
        </is>
      </c>
      <c r="J418" t="inlineStr">
        <is>
          <t>Buy in US</t>
        </is>
      </c>
      <c r="K418" t="inlineStr">
        <is>
          <t>No</t>
        </is>
      </c>
      <c r="M418" t="inlineStr">
        <is>
          <t>To be purchased</t>
        </is>
      </c>
      <c r="N418" t="inlineStr">
        <is>
          <t>NY Stationary (stays in NY inventory)</t>
        </is>
      </c>
    </row>
    <row r="419">
      <c r="A419" t="n">
        <v>418</v>
      </c>
      <c r="B419" t="n">
        <v>18</v>
      </c>
      <c r="C419" t="inlineStr">
        <is>
          <t>Consumables</t>
        </is>
      </c>
      <c r="D419" t="inlineStr">
        <is>
          <t>18-C Threadlockers</t>
        </is>
      </c>
      <c r="E419" s="24" t="inlineStr">
        <is>
          <t>Threadlocker - Loctite 271 (high strength)</t>
        </is>
      </c>
      <c r="F419" t="inlineStr">
        <is>
          <t>250ml</t>
        </is>
      </c>
      <c r="G419" s="25" t="inlineStr">
        <is>
          <t>Consumable</t>
        </is>
      </c>
      <c r="H419" s="24" t="inlineStr">
        <is>
          <t>Box 18 - declared consumable</t>
        </is>
      </c>
      <c r="I419" t="inlineStr">
        <is>
          <t>Kaustubh</t>
        </is>
      </c>
      <c r="J419" t="inlineStr">
        <is>
          <t>India</t>
        </is>
      </c>
      <c r="K419" t="inlineStr">
        <is>
          <t>No</t>
        </is>
      </c>
      <c r="M419" t="inlineStr">
        <is>
          <t>In stock</t>
        </is>
      </c>
      <c r="N419" t="inlineStr">
        <is>
          <t>Mobile (travels with robot)</t>
        </is>
      </c>
    </row>
    <row r="420">
      <c r="A420" t="n">
        <v>419</v>
      </c>
      <c r="B420" t="n">
        <v>18</v>
      </c>
      <c r="C420" t="inlineStr">
        <is>
          <t>Consumables</t>
        </is>
      </c>
      <c r="D420" t="inlineStr">
        <is>
          <t>18-D Abrasives &amp; Blades</t>
        </is>
      </c>
      <c r="E420" s="24" t="inlineStr">
        <is>
          <t>Blade - Angle Grinder, Cutting</t>
        </is>
      </c>
      <c r="F420" t="inlineStr">
        <is>
          <t>1</t>
        </is>
      </c>
      <c r="G420" s="25" t="inlineStr">
        <is>
          <t>Consumable</t>
        </is>
      </c>
      <c r="H420" s="24" t="inlineStr">
        <is>
          <t>Box 18 - declared consumable</t>
        </is>
      </c>
      <c r="I420" t="inlineStr">
        <is>
          <t>Kaustubh</t>
        </is>
      </c>
      <c r="J420" t="inlineStr">
        <is>
          <t>Buy in US</t>
        </is>
      </c>
      <c r="K420" t="inlineStr">
        <is>
          <t>No</t>
        </is>
      </c>
      <c r="M420" t="inlineStr">
        <is>
          <t>In stock</t>
        </is>
      </c>
      <c r="N420" t="inlineStr">
        <is>
          <t>NY Stationary (stays in NY inventory)</t>
        </is>
      </c>
    </row>
    <row r="421">
      <c r="A421" t="n">
        <v>420</v>
      </c>
      <c r="B421" t="n">
        <v>18</v>
      </c>
      <c r="C421" t="inlineStr">
        <is>
          <t>Consumables</t>
        </is>
      </c>
      <c r="D421" t="inlineStr">
        <is>
          <t>18-D Abrasives &amp; Blades</t>
        </is>
      </c>
      <c r="E421" s="24" t="inlineStr">
        <is>
          <t>Blade - Angle Grinder, Grinding</t>
        </is>
      </c>
      <c r="F421" t="inlineStr">
        <is>
          <t>1</t>
        </is>
      </c>
      <c r="G421" s="25" t="inlineStr">
        <is>
          <t>Consumable</t>
        </is>
      </c>
      <c r="H421" s="24" t="inlineStr">
        <is>
          <t>Box 18 - declared consumable</t>
        </is>
      </c>
      <c r="I421" t="inlineStr">
        <is>
          <t>Kaustubh</t>
        </is>
      </c>
      <c r="J421" t="inlineStr">
        <is>
          <t>Buy in US</t>
        </is>
      </c>
      <c r="K421" t="inlineStr">
        <is>
          <t>No</t>
        </is>
      </c>
      <c r="M421" t="inlineStr">
        <is>
          <t>In stock</t>
        </is>
      </c>
      <c r="N421" t="inlineStr">
        <is>
          <t>NY Stationary (stays in NY inventory)</t>
        </is>
      </c>
    </row>
    <row r="422">
      <c r="A422" t="n">
        <v>421</v>
      </c>
      <c r="B422" t="n">
        <v>18</v>
      </c>
      <c r="C422" t="inlineStr">
        <is>
          <t>Consumables</t>
        </is>
      </c>
      <c r="D422" t="inlineStr">
        <is>
          <t>18-D Abrasives &amp; Blades</t>
        </is>
      </c>
      <c r="E422" s="24" t="inlineStr">
        <is>
          <t>Blade - Hacksaw</t>
        </is>
      </c>
      <c r="F422" t="inlineStr">
        <is>
          <t>1</t>
        </is>
      </c>
      <c r="G422" s="25" t="inlineStr">
        <is>
          <t>Consumable</t>
        </is>
      </c>
      <c r="H422" s="24" t="inlineStr">
        <is>
          <t>Box 18 - declared consumable</t>
        </is>
      </c>
      <c r="I422" t="inlineStr">
        <is>
          <t>Kaustubh</t>
        </is>
      </c>
      <c r="J422" t="inlineStr">
        <is>
          <t>Buy in US</t>
        </is>
      </c>
      <c r="K422" t="inlineStr">
        <is>
          <t>No</t>
        </is>
      </c>
      <c r="M422" t="inlineStr">
        <is>
          <t>To be purchased</t>
        </is>
      </c>
      <c r="N422" t="inlineStr">
        <is>
          <t>NY Stationary (stays in NY inventory)</t>
        </is>
      </c>
    </row>
    <row r="423">
      <c r="A423" t="n">
        <v>422</v>
      </c>
      <c r="B423" t="n">
        <v>18</v>
      </c>
      <c r="C423" t="inlineStr">
        <is>
          <t>Consumables</t>
        </is>
      </c>
      <c r="D423" t="inlineStr">
        <is>
          <t>18-D Abrasives &amp; Blades</t>
        </is>
      </c>
      <c r="E423" s="24" t="inlineStr">
        <is>
          <t>Abrasive - Mirka Abranet Disc, 180 / 120 / 220 grit</t>
        </is>
      </c>
      <c r="F423" t="inlineStr"/>
      <c r="G423" s="25" t="inlineStr">
        <is>
          <t>Consumable</t>
        </is>
      </c>
      <c r="H423" s="24" t="inlineStr">
        <is>
          <t>Box 18 - declared consumable</t>
        </is>
      </c>
      <c r="I423" t="inlineStr">
        <is>
          <t>Kaustubh</t>
        </is>
      </c>
      <c r="J423" t="inlineStr">
        <is>
          <t>India</t>
        </is>
      </c>
      <c r="K423" t="inlineStr">
        <is>
          <t>No</t>
        </is>
      </c>
      <c r="M423" t="inlineStr">
        <is>
          <t>In stock</t>
        </is>
      </c>
      <c r="N423" t="inlineStr">
        <is>
          <t>Mobile (travels with robot)</t>
        </is>
      </c>
    </row>
    <row r="424">
      <c r="A424" t="n">
        <v>423</v>
      </c>
      <c r="B424" t="n">
        <v>18</v>
      </c>
      <c r="C424" t="inlineStr">
        <is>
          <t>Consumables</t>
        </is>
      </c>
      <c r="D424" t="inlineStr">
        <is>
          <t>18-D Abrasives &amp; Blades</t>
        </is>
      </c>
      <c r="E424" s="24" t="inlineStr">
        <is>
          <t>Abrasive - Mirka Interface Pad / Pad Saver, MIW9514611</t>
        </is>
      </c>
      <c r="F424" t="inlineStr">
        <is>
          <t>1</t>
        </is>
      </c>
      <c r="G424" s="25" t="inlineStr">
        <is>
          <t>Consumable</t>
        </is>
      </c>
      <c r="H424" s="24" t="inlineStr">
        <is>
          <t>Box 18 - declared consumable</t>
        </is>
      </c>
      <c r="I424" t="inlineStr">
        <is>
          <t>SANKALP</t>
        </is>
      </c>
      <c r="J424" t="inlineStr">
        <is>
          <t>India</t>
        </is>
      </c>
      <c r="K424" t="inlineStr">
        <is>
          <t>No</t>
        </is>
      </c>
      <c r="M424" t="inlineStr">
        <is>
          <t>In stock</t>
        </is>
      </c>
    </row>
    <row r="425">
      <c r="A425" t="n">
        <v>424</v>
      </c>
      <c r="B425" t="n">
        <v>18</v>
      </c>
      <c r="C425" t="inlineStr">
        <is>
          <t>Consumables</t>
        </is>
      </c>
      <c r="D425" t="inlineStr">
        <is>
          <t>18-E Chemicals &amp; Lubricants</t>
        </is>
      </c>
      <c r="E425" s="24" t="inlineStr">
        <is>
          <t>Chemical - Isopropyl Alcohol (IPA)</t>
        </is>
      </c>
      <c r="F425" t="inlineStr">
        <is>
          <t>1</t>
        </is>
      </c>
      <c r="G425" s="25" t="inlineStr">
        <is>
          <t>Consumable</t>
        </is>
      </c>
      <c r="H425" s="24" t="inlineStr">
        <is>
          <t>Box 18 - declared consumable</t>
        </is>
      </c>
      <c r="I425" t="inlineStr">
        <is>
          <t>Kaustubh</t>
        </is>
      </c>
      <c r="J425" t="inlineStr">
        <is>
          <t>Buy in US</t>
        </is>
      </c>
      <c r="K425" t="inlineStr">
        <is>
          <t>No</t>
        </is>
      </c>
      <c r="M425" t="inlineStr">
        <is>
          <t>To be purchased</t>
        </is>
      </c>
      <c r="N425" t="inlineStr">
        <is>
          <t>Mobile (travels with robot)</t>
        </is>
      </c>
    </row>
    <row r="426">
      <c r="A426" t="n">
        <v>425</v>
      </c>
      <c r="B426" t="n">
        <v>18</v>
      </c>
      <c r="C426" t="inlineStr">
        <is>
          <t>Consumables</t>
        </is>
      </c>
      <c r="D426" t="inlineStr">
        <is>
          <t>18-E Chemicals &amp; Lubricants</t>
        </is>
      </c>
      <c r="E426" s="24" t="inlineStr">
        <is>
          <t>Paint - Spray, General Purpose</t>
        </is>
      </c>
      <c r="F426" t="inlineStr">
        <is>
          <t>2.0</t>
        </is>
      </c>
      <c r="G426" s="25" t="inlineStr">
        <is>
          <t>Consumable</t>
        </is>
      </c>
      <c r="H426" s="24" t="inlineStr">
        <is>
          <t>Box 18 - declared consumable</t>
        </is>
      </c>
      <c r="I426" t="inlineStr">
        <is>
          <t>Kaustubh</t>
        </is>
      </c>
      <c r="J426" t="inlineStr">
        <is>
          <t>Buy in US</t>
        </is>
      </c>
      <c r="K426" t="inlineStr">
        <is>
          <t>No</t>
        </is>
      </c>
      <c r="M426" t="inlineStr">
        <is>
          <t>To be purchased</t>
        </is>
      </c>
      <c r="N426" t="inlineStr">
        <is>
          <t>Mobile (travels with robot)</t>
        </is>
      </c>
    </row>
    <row r="427">
      <c r="A427" t="n">
        <v>426</v>
      </c>
      <c r="B427" t="n">
        <v>18</v>
      </c>
      <c r="C427" t="inlineStr">
        <is>
          <t>Consumables</t>
        </is>
      </c>
      <c r="D427" t="inlineStr">
        <is>
          <t>18-E Chemicals &amp; Lubricants</t>
        </is>
      </c>
      <c r="E427" s="24" t="inlineStr">
        <is>
          <t>Lubricant - Tapping Oil</t>
        </is>
      </c>
      <c r="F427" t="inlineStr">
        <is>
          <t>1</t>
        </is>
      </c>
      <c r="G427" s="25" t="inlineStr">
        <is>
          <t>Consumable</t>
        </is>
      </c>
      <c r="H427" s="24" t="inlineStr">
        <is>
          <t>Box 18 - declared consumable</t>
        </is>
      </c>
      <c r="I427" t="inlineStr">
        <is>
          <t>Kaustubh</t>
        </is>
      </c>
      <c r="J427" t="inlineStr">
        <is>
          <t>Buy in US</t>
        </is>
      </c>
      <c r="K427" t="inlineStr">
        <is>
          <t>No</t>
        </is>
      </c>
      <c r="M427" t="inlineStr">
        <is>
          <t>To be purchased</t>
        </is>
      </c>
      <c r="N427" t="inlineStr">
        <is>
          <t>NY Stationary (stays in NY inventory)</t>
        </is>
      </c>
    </row>
    <row r="428">
      <c r="A428" t="n">
        <v>427</v>
      </c>
      <c r="B428" t="n">
        <v>18</v>
      </c>
      <c r="C428" t="inlineStr">
        <is>
          <t>Consumables</t>
        </is>
      </c>
      <c r="D428" t="inlineStr">
        <is>
          <t>18-E Chemicals &amp; Lubricants</t>
        </is>
      </c>
      <c r="E428" s="24" t="inlineStr">
        <is>
          <t>Lubricant - Cutting Oil</t>
        </is>
      </c>
      <c r="F428" t="inlineStr">
        <is>
          <t>1</t>
        </is>
      </c>
      <c r="G428" s="25" t="inlineStr">
        <is>
          <t>Consumable</t>
        </is>
      </c>
      <c r="H428" s="24" t="inlineStr">
        <is>
          <t>Box 18 - declared consumable</t>
        </is>
      </c>
      <c r="I428" t="inlineStr">
        <is>
          <t>Kaustubh</t>
        </is>
      </c>
      <c r="J428" t="inlineStr">
        <is>
          <t>Buy in US</t>
        </is>
      </c>
      <c r="K428" t="inlineStr">
        <is>
          <t>No</t>
        </is>
      </c>
      <c r="M428" t="inlineStr">
        <is>
          <t>To be purchased</t>
        </is>
      </c>
      <c r="N428" t="inlineStr">
        <is>
          <t>NY Stationary (stays in NY inventory)</t>
        </is>
      </c>
    </row>
    <row r="429">
      <c r="A429" t="n">
        <v>428</v>
      </c>
      <c r="B429" t="n">
        <v>18</v>
      </c>
      <c r="C429" t="inlineStr">
        <is>
          <t>Consumables</t>
        </is>
      </c>
      <c r="D429" t="inlineStr">
        <is>
          <t>18-F 3D Printing Filament</t>
        </is>
      </c>
      <c r="E429" s="24" t="inlineStr">
        <is>
          <t>Filament - PLA+, eSun</t>
        </is>
      </c>
      <c r="F429" t="inlineStr">
        <is>
          <t>2</t>
        </is>
      </c>
      <c r="G429" s="25" t="inlineStr">
        <is>
          <t>Consumable</t>
        </is>
      </c>
      <c r="H429" s="24" t="inlineStr">
        <is>
          <t>Box 18 - declared consumable</t>
        </is>
      </c>
      <c r="I429" t="inlineStr">
        <is>
          <t>Kaustubh</t>
        </is>
      </c>
      <c r="J429" t="inlineStr">
        <is>
          <t>Buy in US</t>
        </is>
      </c>
      <c r="K429" t="inlineStr">
        <is>
          <t>No</t>
        </is>
      </c>
      <c r="M429" t="inlineStr">
        <is>
          <t>In stock</t>
        </is>
      </c>
      <c r="N429" t="inlineStr">
        <is>
          <t>Mobile (travels with robot)</t>
        </is>
      </c>
    </row>
    <row r="430">
      <c r="A430" t="n">
        <v>429</v>
      </c>
      <c r="B430" t="n">
        <v>18</v>
      </c>
      <c r="C430" t="inlineStr">
        <is>
          <t>Consumables</t>
        </is>
      </c>
      <c r="D430" t="inlineStr">
        <is>
          <t>18-F 3D Printing Filament</t>
        </is>
      </c>
      <c r="E430" s="24" t="inlineStr">
        <is>
          <t>Filament - PETG, eSun</t>
        </is>
      </c>
      <c r="F430" t="inlineStr">
        <is>
          <t>2</t>
        </is>
      </c>
      <c r="G430" s="25" t="inlineStr">
        <is>
          <t>Consumable</t>
        </is>
      </c>
      <c r="H430" s="24" t="inlineStr">
        <is>
          <t>Box 18 - declared consumable</t>
        </is>
      </c>
      <c r="I430" t="inlineStr">
        <is>
          <t>Kaustubh</t>
        </is>
      </c>
      <c r="J430" t="inlineStr">
        <is>
          <t>Buy in US</t>
        </is>
      </c>
      <c r="K430" t="inlineStr">
        <is>
          <t>No</t>
        </is>
      </c>
      <c r="M430" t="inlineStr">
        <is>
          <t>In stock</t>
        </is>
      </c>
      <c r="N430" t="inlineStr">
        <is>
          <t>Mobile (travels with robot)</t>
        </is>
      </c>
    </row>
    <row r="431">
      <c r="A431" t="n">
        <v>430</v>
      </c>
      <c r="B431" t="n">
        <v>18</v>
      </c>
      <c r="C431" t="inlineStr">
        <is>
          <t>Consumables</t>
        </is>
      </c>
      <c r="D431" t="inlineStr">
        <is>
          <t>18-F 3D Printing Filament</t>
        </is>
      </c>
      <c r="E431" s="24" t="inlineStr">
        <is>
          <t>Filament - TPU, eSun</t>
        </is>
      </c>
      <c r="F431" t="inlineStr">
        <is>
          <t>2</t>
        </is>
      </c>
      <c r="G431" s="25" t="inlineStr">
        <is>
          <t>Consumable</t>
        </is>
      </c>
      <c r="H431" s="24" t="inlineStr">
        <is>
          <t>Box 18 - declared consumable</t>
        </is>
      </c>
      <c r="I431" t="inlineStr">
        <is>
          <t>Kaustubh</t>
        </is>
      </c>
      <c r="J431" t="inlineStr">
        <is>
          <t>Buy in US</t>
        </is>
      </c>
      <c r="K431" t="inlineStr">
        <is>
          <t>No</t>
        </is>
      </c>
      <c r="M431" t="inlineStr">
        <is>
          <t>In stock</t>
        </is>
      </c>
      <c r="N431" t="inlineStr">
        <is>
          <t>Mobile (travels with robot)</t>
        </is>
      </c>
    </row>
    <row r="432">
      <c r="A432" t="n">
        <v>431</v>
      </c>
      <c r="B432" t="n">
        <v>18</v>
      </c>
      <c r="C432" t="inlineStr">
        <is>
          <t>Consumables</t>
        </is>
      </c>
      <c r="D432" t="inlineStr">
        <is>
          <t>18-G Filters and sheets</t>
        </is>
      </c>
      <c r="E432" s="24" t="inlineStr">
        <is>
          <t>Diffuser Sheets</t>
        </is>
      </c>
      <c r="F432" t="inlineStr">
        <is>
          <t>2</t>
        </is>
      </c>
      <c r="G432" s="27" t="inlineStr">
        <is>
          <t>Borderline</t>
        </is>
      </c>
      <c r="H432" s="24" t="inlineStr">
        <is>
          <t>Filed in Consumables but is an optical part, not a used-up material</t>
        </is>
      </c>
      <c r="I432" t="inlineStr">
        <is>
          <t>Kaustubh</t>
        </is>
      </c>
      <c r="J432" t="inlineStr">
        <is>
          <t>India</t>
        </is>
      </c>
      <c r="K432" t="inlineStr">
        <is>
          <t>No</t>
        </is>
      </c>
      <c r="M432" t="inlineStr">
        <is>
          <t>In stock</t>
        </is>
      </c>
      <c r="N432" t="inlineStr">
        <is>
          <t>Mobile (travels with robot)</t>
        </is>
      </c>
    </row>
    <row r="433">
      <c r="A433" t="n">
        <v>432</v>
      </c>
      <c r="B433" t="n">
        <v>18</v>
      </c>
      <c r="C433" t="inlineStr">
        <is>
          <t>Consumables</t>
        </is>
      </c>
      <c r="D433" t="inlineStr">
        <is>
          <t>18-G Filters</t>
        </is>
      </c>
      <c r="E433" s="24" t="inlineStr">
        <is>
          <t>Filter - Foam, 40 ppi - fan intake</t>
        </is>
      </c>
      <c r="F433" t="inlineStr">
        <is>
          <t>1.5*2 m</t>
        </is>
      </c>
      <c r="G433" s="25" t="inlineStr">
        <is>
          <t>Consumable</t>
        </is>
      </c>
      <c r="H433" s="24" t="inlineStr">
        <is>
          <t>Box 18 - declared consumable</t>
        </is>
      </c>
      <c r="I433" t="inlineStr">
        <is>
          <t>Kaustubh</t>
        </is>
      </c>
      <c r="J433" t="inlineStr">
        <is>
          <t>India</t>
        </is>
      </c>
      <c r="K433" t="inlineStr">
        <is>
          <t>No</t>
        </is>
      </c>
      <c r="L433" t="inlineStr">
        <is>
          <t>PR-2026-1639</t>
        </is>
      </c>
      <c r="M433" t="inlineStr">
        <is>
          <t>PR Raised</t>
        </is>
      </c>
      <c r="N433" t="inlineStr">
        <is>
          <t>Mobile (travels with robot)</t>
        </is>
      </c>
    </row>
    <row r="434">
      <c r="A434" t="n">
        <v>433</v>
      </c>
      <c r="B434" t="n">
        <v>18</v>
      </c>
      <c r="C434" t="inlineStr">
        <is>
          <t>Consumables</t>
        </is>
      </c>
      <c r="D434" t="inlineStr">
        <is>
          <t>18-G Filters</t>
        </is>
      </c>
      <c r="E434" s="24" t="inlineStr">
        <is>
          <t>Dust Bag - Mirka, 8999000211</t>
        </is>
      </c>
      <c r="F434" t="inlineStr"/>
      <c r="G434" s="25" t="inlineStr">
        <is>
          <t>Consumable</t>
        </is>
      </c>
      <c r="H434" s="24" t="inlineStr">
        <is>
          <t>Box 18 - declared consumable</t>
        </is>
      </c>
      <c r="I434" t="inlineStr">
        <is>
          <t>Kaustubh</t>
        </is>
      </c>
      <c r="J434" t="inlineStr">
        <is>
          <t>India</t>
        </is>
      </c>
      <c r="K434" t="inlineStr">
        <is>
          <t>No</t>
        </is>
      </c>
      <c r="M434" t="inlineStr">
        <is>
          <t>In stock</t>
        </is>
      </c>
      <c r="N434" t="inlineStr">
        <is>
          <t>Mobile (travels with robot)</t>
        </is>
      </c>
    </row>
    <row r="435">
      <c r="A435" t="n">
        <v>434</v>
      </c>
      <c r="B435" t="n">
        <v>18</v>
      </c>
      <c r="C435" t="inlineStr">
        <is>
          <t>Consumables</t>
        </is>
      </c>
      <c r="D435" t="inlineStr">
        <is>
          <t>18-G Filters</t>
        </is>
      </c>
      <c r="E435" s="24" t="inlineStr">
        <is>
          <t>Filter - Sander Vacuum, 8999600411</t>
        </is>
      </c>
      <c r="F435" t="inlineStr">
        <is>
          <t>1</t>
        </is>
      </c>
      <c r="G435" s="25" t="inlineStr">
        <is>
          <t>Consumable</t>
        </is>
      </c>
      <c r="H435" s="24" t="inlineStr">
        <is>
          <t>Box 18 - declared consumable</t>
        </is>
      </c>
      <c r="I435" t="inlineStr">
        <is>
          <t>SANKALP</t>
        </is>
      </c>
      <c r="J435" t="inlineStr">
        <is>
          <t>Buy in US</t>
        </is>
      </c>
      <c r="K435" t="inlineStr">
        <is>
          <t>No</t>
        </is>
      </c>
      <c r="M435" t="inlineStr">
        <is>
          <t>Hold</t>
        </is>
      </c>
    </row>
    <row r="436">
      <c r="A436" t="n">
        <v>435</v>
      </c>
      <c r="B436" t="n">
        <v>18</v>
      </c>
      <c r="C436" t="inlineStr">
        <is>
          <t>Consumables</t>
        </is>
      </c>
      <c r="D436" t="inlineStr">
        <is>
          <t>18-H Gloves &amp; Disposables</t>
        </is>
      </c>
      <c r="E436" s="24" t="inlineStr">
        <is>
          <t>Gloves - Nitrile, Disposable</t>
        </is>
      </c>
      <c r="F436" t="inlineStr">
        <is>
          <t>50</t>
        </is>
      </c>
      <c r="G436" s="25" t="inlineStr">
        <is>
          <t>Consumable</t>
        </is>
      </c>
      <c r="H436" s="24" t="inlineStr">
        <is>
          <t>Box 18 - declared consumable</t>
        </is>
      </c>
      <c r="I436" t="inlineStr">
        <is>
          <t>Kaustubh</t>
        </is>
      </c>
      <c r="J436" t="inlineStr">
        <is>
          <t>India</t>
        </is>
      </c>
      <c r="K436" t="inlineStr">
        <is>
          <t>No</t>
        </is>
      </c>
      <c r="L436" t="inlineStr">
        <is>
          <t>PR-2026-1649</t>
        </is>
      </c>
      <c r="M436" t="inlineStr">
        <is>
          <t>PR Raised</t>
        </is>
      </c>
      <c r="N436" t="inlineStr">
        <is>
          <t>Mobile (travels with robot)</t>
        </is>
      </c>
    </row>
    <row r="437">
      <c r="A437" t="n">
        <v>436</v>
      </c>
      <c r="B437" t="n">
        <v>19</v>
      </c>
      <c r="C437" t="inlineStr">
        <is>
          <t>Packaging</t>
        </is>
      </c>
      <c r="D437" t="inlineStr">
        <is>
          <t>19-A Crates &amp; Panels</t>
        </is>
      </c>
      <c r="E437" s="24" t="inlineStr">
        <is>
          <t>Crate - Tool Sander</t>
        </is>
      </c>
      <c r="F437" t="inlineStr">
        <is>
          <t>1</t>
        </is>
      </c>
      <c r="G437" s="26" t="inlineStr">
        <is>
          <t>Not consumable</t>
        </is>
      </c>
      <c r="H437" s="24" t="inlineStr">
        <is>
          <t>Reusable packaging asset</t>
        </is>
      </c>
      <c r="I437" t="inlineStr">
        <is>
          <t>Kaustubh</t>
        </is>
      </c>
      <c r="J437" t="inlineStr">
        <is>
          <t>India</t>
        </is>
      </c>
      <c r="K437" t="inlineStr">
        <is>
          <t>No</t>
        </is>
      </c>
      <c r="M437" t="inlineStr">
        <is>
          <t>IQC Stage</t>
        </is>
      </c>
    </row>
    <row r="438">
      <c r="A438" t="n">
        <v>437</v>
      </c>
      <c r="B438" t="n">
        <v>19</v>
      </c>
      <c r="C438" t="inlineStr">
        <is>
          <t>Packaging</t>
        </is>
      </c>
      <c r="D438" t="inlineStr">
        <is>
          <t>19-A Crates &amp; Panels</t>
        </is>
      </c>
      <c r="E438" s="24" t="inlineStr">
        <is>
          <t>Crate - Tool Sprayer</t>
        </is>
      </c>
      <c r="F438" t="inlineStr">
        <is>
          <t>1</t>
        </is>
      </c>
      <c r="G438" s="26" t="inlineStr">
        <is>
          <t>Not consumable</t>
        </is>
      </c>
      <c r="H438" s="24" t="inlineStr">
        <is>
          <t>Reusable packaging asset</t>
        </is>
      </c>
      <c r="I438" t="inlineStr">
        <is>
          <t>Kaustubh</t>
        </is>
      </c>
      <c r="J438" t="inlineStr">
        <is>
          <t>India</t>
        </is>
      </c>
      <c r="K438" t="inlineStr">
        <is>
          <t>No</t>
        </is>
      </c>
      <c r="M438" t="inlineStr">
        <is>
          <t>IQC Stage</t>
        </is>
      </c>
    </row>
    <row r="439">
      <c r="A439" t="n">
        <v>438</v>
      </c>
      <c r="B439" t="n">
        <v>19</v>
      </c>
      <c r="C439" t="inlineStr">
        <is>
          <t>Packaging</t>
        </is>
      </c>
      <c r="D439" t="inlineStr">
        <is>
          <t>19-A Crates &amp; Panels</t>
        </is>
      </c>
      <c r="E439" s="24" t="inlineStr">
        <is>
          <t>Crate - Operation Station</t>
        </is>
      </c>
      <c r="F439" t="inlineStr">
        <is>
          <t>1</t>
        </is>
      </c>
      <c r="G439" s="26" t="inlineStr">
        <is>
          <t>Not consumable</t>
        </is>
      </c>
      <c r="H439" s="24" t="inlineStr">
        <is>
          <t>Reusable packaging asset</t>
        </is>
      </c>
      <c r="I439" t="inlineStr">
        <is>
          <t>Kaustubh</t>
        </is>
      </c>
      <c r="J439" t="inlineStr">
        <is>
          <t>India</t>
        </is>
      </c>
      <c r="K439" t="inlineStr">
        <is>
          <t>No</t>
        </is>
      </c>
      <c r="M439" t="inlineStr">
        <is>
          <t>IQC Stage</t>
        </is>
      </c>
    </row>
    <row r="440">
      <c r="A440" t="n">
        <v>439</v>
      </c>
      <c r="B440" t="n">
        <v>19</v>
      </c>
      <c r="C440" t="inlineStr">
        <is>
          <t>Packaging</t>
        </is>
      </c>
      <c r="D440" t="inlineStr">
        <is>
          <t>19-A Crates &amp; Panels</t>
        </is>
      </c>
      <c r="E440" s="24" t="inlineStr">
        <is>
          <t>Crate - Mobile Inventory (spares + consumables + kits)</t>
        </is>
      </c>
      <c r="F440" t="inlineStr">
        <is>
          <t>1</t>
        </is>
      </c>
      <c r="G440" s="26" t="inlineStr">
        <is>
          <t>Not consumable</t>
        </is>
      </c>
      <c r="H440" s="24" t="inlineStr">
        <is>
          <t>Reusable packaging asset</t>
        </is>
      </c>
      <c r="I440" t="inlineStr">
        <is>
          <t>Kaustubh</t>
        </is>
      </c>
      <c r="J440" t="inlineStr">
        <is>
          <t>India</t>
        </is>
      </c>
      <c r="K440" t="inlineStr">
        <is>
          <t>No</t>
        </is>
      </c>
      <c r="L440" t="inlineStr">
        <is>
          <t>PR-2026-1569</t>
        </is>
      </c>
      <c r="M440" t="inlineStr">
        <is>
          <t>PR Raised</t>
        </is>
      </c>
    </row>
    <row r="441">
      <c r="A441" t="n">
        <v>440</v>
      </c>
      <c r="B441" t="n">
        <v>19</v>
      </c>
      <c r="C441" t="inlineStr">
        <is>
          <t>Packaging</t>
        </is>
      </c>
      <c r="D441" t="inlineStr">
        <is>
          <t>19-B Straps &amp; Banding</t>
        </is>
      </c>
      <c r="E441" s="24" t="inlineStr">
        <is>
          <t>Strap - Cargo Ratchet, Orange</t>
        </is>
      </c>
      <c r="F441" t="inlineStr">
        <is>
          <t>6</t>
        </is>
      </c>
      <c r="G441" s="26" t="inlineStr">
        <is>
          <t>Not consumable</t>
        </is>
      </c>
      <c r="H441" s="24" t="inlineStr">
        <is>
          <t>Reusable packaging asset</t>
        </is>
      </c>
      <c r="I441" t="inlineStr">
        <is>
          <t>Kaustubh</t>
        </is>
      </c>
      <c r="J441" t="inlineStr">
        <is>
          <t>India</t>
        </is>
      </c>
      <c r="K441" t="inlineStr">
        <is>
          <t>No</t>
        </is>
      </c>
      <c r="M441" t="inlineStr">
        <is>
          <t>In stock</t>
        </is>
      </c>
    </row>
    <row r="442">
      <c r="A442" t="n">
        <v>441</v>
      </c>
      <c r="B442" t="n">
        <v>19</v>
      </c>
      <c r="C442" t="inlineStr">
        <is>
          <t>Packaging</t>
        </is>
      </c>
      <c r="D442" t="inlineStr">
        <is>
          <t>19-B Straps &amp; Banding</t>
        </is>
      </c>
      <c r="E442" s="24" t="inlineStr">
        <is>
          <t>Strap - PET Banding Roll</t>
        </is>
      </c>
      <c r="F442" t="inlineStr">
        <is>
          <t>1 roll</t>
        </is>
      </c>
      <c r="G442" s="25" t="inlineStr">
        <is>
          <t>Consumable</t>
        </is>
      </c>
      <c r="H442" s="24" t="inlineStr">
        <is>
          <t>Single-use banding</t>
        </is>
      </c>
      <c r="I442" t="inlineStr">
        <is>
          <t>Kaustubh</t>
        </is>
      </c>
      <c r="J442" t="inlineStr">
        <is>
          <t>India</t>
        </is>
      </c>
      <c r="K442" t="inlineStr">
        <is>
          <t>No</t>
        </is>
      </c>
      <c r="L442" t="inlineStr">
        <is>
          <t>PR-2026-1570</t>
        </is>
      </c>
      <c r="M442" t="inlineStr">
        <is>
          <t>PR Raised</t>
        </is>
      </c>
    </row>
    <row r="443">
      <c r="A443" t="n">
        <v>442</v>
      </c>
      <c r="B443" t="n">
        <v>19</v>
      </c>
      <c r="C443" t="inlineStr">
        <is>
          <t>Packaging</t>
        </is>
      </c>
      <c r="D443" t="inlineStr">
        <is>
          <t>19-B Straps &amp; Banding</t>
        </is>
      </c>
      <c r="E443" s="24" t="inlineStr">
        <is>
          <t>Bracket - Strap / Belt Clamp</t>
        </is>
      </c>
      <c r="F443" t="inlineStr">
        <is>
          <t>18</t>
        </is>
      </c>
      <c r="G443" s="26" t="inlineStr">
        <is>
          <t>Not consumable</t>
        </is>
      </c>
      <c r="H443" s="24" t="inlineStr">
        <is>
          <t>Reusable packaging asset</t>
        </is>
      </c>
      <c r="I443" t="inlineStr">
        <is>
          <t>Kaustubh</t>
        </is>
      </c>
      <c r="J443" t="inlineStr">
        <is>
          <t>India</t>
        </is>
      </c>
      <c r="K443" t="inlineStr">
        <is>
          <t>No</t>
        </is>
      </c>
      <c r="M443" t="inlineStr">
        <is>
          <t>IQC Stage</t>
        </is>
      </c>
    </row>
    <row r="444">
      <c r="A444" t="n">
        <v>443</v>
      </c>
      <c r="B444" t="n">
        <v>19</v>
      </c>
      <c r="C444" t="inlineStr">
        <is>
          <t>Packaging</t>
        </is>
      </c>
      <c r="D444" t="inlineStr">
        <is>
          <t>19-B Straps &amp; Banding</t>
        </is>
      </c>
      <c r="E444" s="24" t="inlineStr">
        <is>
          <t>Eye Bolt - M10 x 20 mm, Stainless Steel</t>
        </is>
      </c>
      <c r="F444" t="inlineStr">
        <is>
          <t>2</t>
        </is>
      </c>
      <c r="G444" s="26" t="inlineStr">
        <is>
          <t>Not consumable</t>
        </is>
      </c>
      <c r="H444" s="24" t="inlineStr">
        <is>
          <t>Reusable packaging asset</t>
        </is>
      </c>
      <c r="I444" t="inlineStr">
        <is>
          <t>Kaustubh</t>
        </is>
      </c>
      <c r="J444" t="inlineStr">
        <is>
          <t>India</t>
        </is>
      </c>
      <c r="K444" t="inlineStr">
        <is>
          <t>No</t>
        </is>
      </c>
      <c r="L444" t="inlineStr">
        <is>
          <t>PR-2026-1583</t>
        </is>
      </c>
      <c r="M444" t="inlineStr">
        <is>
          <t>In stock</t>
        </is>
      </c>
      <c r="N444" t="inlineStr">
        <is>
          <t>Mobile (travels with robot)</t>
        </is>
      </c>
    </row>
    <row r="445">
      <c r="A445" t="n">
        <v>444</v>
      </c>
      <c r="B445" t="n">
        <v>19</v>
      </c>
      <c r="C445" t="inlineStr">
        <is>
          <t>Packaging</t>
        </is>
      </c>
      <c r="D445" t="inlineStr">
        <is>
          <t>19-B Straps &amp; Banding</t>
        </is>
      </c>
      <c r="E445" s="24" t="inlineStr">
        <is>
          <t>Clip - Ratchet Strap, External White</t>
        </is>
      </c>
      <c r="F445" t="inlineStr">
        <is>
          <t>1 kg</t>
        </is>
      </c>
      <c r="G445" s="26" t="inlineStr">
        <is>
          <t>Not consumable</t>
        </is>
      </c>
      <c r="H445" s="24" t="inlineStr">
        <is>
          <t>Reusable packaging asset</t>
        </is>
      </c>
      <c r="I445" t="inlineStr">
        <is>
          <t>Kaustubh</t>
        </is>
      </c>
      <c r="J445" t="inlineStr">
        <is>
          <t>India</t>
        </is>
      </c>
      <c r="K445" t="inlineStr">
        <is>
          <t>No</t>
        </is>
      </c>
      <c r="L445" t="inlineStr">
        <is>
          <t>PR-2026-1584</t>
        </is>
      </c>
      <c r="M445" t="inlineStr">
        <is>
          <t>PR Raised</t>
        </is>
      </c>
    </row>
    <row r="446">
      <c r="A446" t="n">
        <v>445</v>
      </c>
      <c r="B446" t="n">
        <v>19</v>
      </c>
      <c r="C446" t="inlineStr">
        <is>
          <t>Packaging</t>
        </is>
      </c>
      <c r="D446" t="inlineStr">
        <is>
          <t>19-C Wraps &amp; Cushioning</t>
        </is>
      </c>
      <c r="E446" s="24" t="inlineStr">
        <is>
          <t>Foam - EPE Sheet</t>
        </is>
      </c>
      <c r="F446" t="inlineStr">
        <is>
          <t>25</t>
        </is>
      </c>
      <c r="G446" s="25" t="inlineStr">
        <is>
          <t>Consumable</t>
        </is>
      </c>
      <c r="H446" s="24" t="inlineStr">
        <is>
          <t>Single-use packaging material</t>
        </is>
      </c>
      <c r="I446" t="inlineStr">
        <is>
          <t>Kaustubh</t>
        </is>
      </c>
      <c r="J446" t="inlineStr">
        <is>
          <t>India</t>
        </is>
      </c>
      <c r="K446" t="inlineStr">
        <is>
          <t>No</t>
        </is>
      </c>
      <c r="M446" t="inlineStr">
        <is>
          <t>Hold</t>
        </is>
      </c>
    </row>
    <row r="447">
      <c r="A447" t="n">
        <v>446</v>
      </c>
      <c r="B447" t="n">
        <v>19</v>
      </c>
      <c r="C447" t="inlineStr">
        <is>
          <t>Packaging</t>
        </is>
      </c>
      <c r="D447" t="inlineStr">
        <is>
          <t>19-C Wraps &amp; Cushioning</t>
        </is>
      </c>
      <c r="E447" s="24" t="inlineStr">
        <is>
          <t>Bubble Wrap - Roll, 1 m wide</t>
        </is>
      </c>
      <c r="F447" t="inlineStr">
        <is>
          <t>1 roll</t>
        </is>
      </c>
      <c r="G447" s="25" t="inlineStr">
        <is>
          <t>Consumable</t>
        </is>
      </c>
      <c r="H447" s="24" t="inlineStr">
        <is>
          <t>Single-use packaging material</t>
        </is>
      </c>
      <c r="I447" t="inlineStr">
        <is>
          <t>Kaustubh</t>
        </is>
      </c>
      <c r="J447" t="inlineStr">
        <is>
          <t>India</t>
        </is>
      </c>
      <c r="K447" t="inlineStr">
        <is>
          <t>No</t>
        </is>
      </c>
      <c r="M447" t="inlineStr">
        <is>
          <t>Hold</t>
        </is>
      </c>
    </row>
    <row r="448">
      <c r="A448" t="n">
        <v>447</v>
      </c>
      <c r="B448" t="n">
        <v>19</v>
      </c>
      <c r="C448" t="inlineStr">
        <is>
          <t>Packaging</t>
        </is>
      </c>
      <c r="D448" t="inlineStr">
        <is>
          <t>19-C Wraps &amp; Cushioning</t>
        </is>
      </c>
      <c r="E448" s="24" t="inlineStr">
        <is>
          <t>Stretch Film - Polyethylene Wrap, 500 mm</t>
        </is>
      </c>
      <c r="F448" t="inlineStr">
        <is>
          <t>3 rolls</t>
        </is>
      </c>
      <c r="G448" s="25" t="inlineStr">
        <is>
          <t>Consumable</t>
        </is>
      </c>
      <c r="H448" s="24" t="inlineStr">
        <is>
          <t>Single-use packaging material</t>
        </is>
      </c>
      <c r="I448" t="inlineStr">
        <is>
          <t>Kaustubh</t>
        </is>
      </c>
      <c r="J448" t="inlineStr">
        <is>
          <t>India</t>
        </is>
      </c>
      <c r="K448" t="inlineStr">
        <is>
          <t>No</t>
        </is>
      </c>
      <c r="M448" t="inlineStr">
        <is>
          <t>Hold</t>
        </is>
      </c>
    </row>
    <row r="449">
      <c r="A449" t="n">
        <v>448</v>
      </c>
      <c r="B449" t="n">
        <v>19</v>
      </c>
      <c r="C449" t="inlineStr">
        <is>
          <t>Packaging</t>
        </is>
      </c>
      <c r="D449" t="inlineStr">
        <is>
          <t>19-C Wraps &amp; Cushioning</t>
        </is>
      </c>
      <c r="E449" s="24" t="inlineStr">
        <is>
          <t>Tape - Packing</t>
        </is>
      </c>
      <c r="F449" t="inlineStr">
        <is>
          <t>3 rolls</t>
        </is>
      </c>
      <c r="G449" s="25" t="inlineStr">
        <is>
          <t>Consumable</t>
        </is>
      </c>
      <c r="H449" s="24" t="inlineStr">
        <is>
          <t>Single-use packaging material</t>
        </is>
      </c>
      <c r="I449" t="inlineStr">
        <is>
          <t>Kaustubh</t>
        </is>
      </c>
      <c r="J449" t="inlineStr">
        <is>
          <t>India</t>
        </is>
      </c>
      <c r="K449" t="inlineStr">
        <is>
          <t>No</t>
        </is>
      </c>
      <c r="L449" t="inlineStr">
        <is>
          <t>PR-2026-1574</t>
        </is>
      </c>
      <c r="M449" t="inlineStr">
        <is>
          <t>PR Raised</t>
        </is>
      </c>
    </row>
    <row r="450">
      <c r="A450" t="n">
        <v>449</v>
      </c>
      <c r="B450" t="n">
        <v>19</v>
      </c>
      <c r="C450" t="inlineStr">
        <is>
          <t>Packaging</t>
        </is>
      </c>
      <c r="D450" t="inlineStr">
        <is>
          <t>19-D Labels &amp; Marking</t>
        </is>
      </c>
      <c r="E450" s="24" t="inlineStr">
        <is>
          <t>Label - Handle With Care Sticker</t>
        </is>
      </c>
      <c r="F450" t="inlineStr">
        <is>
          <t>20</t>
        </is>
      </c>
      <c r="G450" s="25" t="inlineStr">
        <is>
          <t>Consumable</t>
        </is>
      </c>
      <c r="H450" s="24" t="inlineStr">
        <is>
          <t>Single-use label / marking material</t>
        </is>
      </c>
      <c r="I450" t="inlineStr">
        <is>
          <t>Kaustubh</t>
        </is>
      </c>
      <c r="J450" t="inlineStr">
        <is>
          <t>India</t>
        </is>
      </c>
      <c r="K450" t="inlineStr">
        <is>
          <t>No</t>
        </is>
      </c>
      <c r="M450" t="inlineStr">
        <is>
          <t>To be Printed</t>
        </is>
      </c>
    </row>
    <row r="451">
      <c r="A451" t="n">
        <v>450</v>
      </c>
      <c r="B451" t="n">
        <v>19</v>
      </c>
      <c r="C451" t="inlineStr">
        <is>
          <t>Packaging</t>
        </is>
      </c>
      <c r="D451" t="inlineStr">
        <is>
          <t>19-D Labels &amp; Marking</t>
        </is>
      </c>
      <c r="E451" s="24" t="inlineStr">
        <is>
          <t>Stencil - Direction Marking</t>
        </is>
      </c>
      <c r="F451" t="inlineStr">
        <is>
          <t>1</t>
        </is>
      </c>
      <c r="G451" s="25" t="inlineStr">
        <is>
          <t>Consumable</t>
        </is>
      </c>
      <c r="H451" s="24" t="inlineStr">
        <is>
          <t>Single-use label / marking material</t>
        </is>
      </c>
      <c r="I451" t="inlineStr">
        <is>
          <t>Kaustubh</t>
        </is>
      </c>
      <c r="J451" t="inlineStr">
        <is>
          <t>India</t>
        </is>
      </c>
      <c r="K451" t="inlineStr">
        <is>
          <t>No</t>
        </is>
      </c>
      <c r="M451" t="inlineStr">
        <is>
          <t>To be Printed</t>
        </is>
      </c>
    </row>
    <row r="452">
      <c r="A452" t="n">
        <v>451</v>
      </c>
      <c r="B452" t="n">
        <v>19</v>
      </c>
      <c r="C452" t="inlineStr">
        <is>
          <t>Packaging</t>
        </is>
      </c>
      <c r="D452" t="inlineStr">
        <is>
          <t>19-D Labels &amp; Marking</t>
        </is>
      </c>
      <c r="E452" s="24" t="inlineStr">
        <is>
          <t>Label - Shipping Labels &amp; Stamps</t>
        </is>
      </c>
      <c r="F452" t="inlineStr">
        <is>
          <t>6</t>
        </is>
      </c>
      <c r="G452" s="25" t="inlineStr">
        <is>
          <t>Consumable</t>
        </is>
      </c>
      <c r="H452" s="24" t="inlineStr">
        <is>
          <t>Single-use label / marking material</t>
        </is>
      </c>
      <c r="I452" t="inlineStr">
        <is>
          <t>Kaustubh</t>
        </is>
      </c>
      <c r="J452" t="inlineStr">
        <is>
          <t>India</t>
        </is>
      </c>
      <c r="K452" t="inlineStr">
        <is>
          <t>No</t>
        </is>
      </c>
      <c r="M452" t="inlineStr">
        <is>
          <t>IQC Stage</t>
        </is>
      </c>
    </row>
    <row r="453">
      <c r="A453" t="n">
        <v>452</v>
      </c>
      <c r="B453" t="n">
        <v>19</v>
      </c>
      <c r="C453" t="inlineStr">
        <is>
          <t>Packaging</t>
        </is>
      </c>
      <c r="D453" t="inlineStr">
        <is>
          <t>19-D Labels &amp; Marking</t>
        </is>
      </c>
      <c r="E453" s="24" t="inlineStr">
        <is>
          <t>Paint - Spray, Matt Black</t>
        </is>
      </c>
      <c r="F453" t="inlineStr">
        <is>
          <t>2</t>
        </is>
      </c>
      <c r="G453" s="25" t="inlineStr">
        <is>
          <t>Consumable</t>
        </is>
      </c>
      <c r="H453" s="24" t="inlineStr">
        <is>
          <t>Chemical / print media - used up in use</t>
        </is>
      </c>
      <c r="I453" t="inlineStr">
        <is>
          <t>Kaustubh</t>
        </is>
      </c>
      <c r="J453" t="inlineStr">
        <is>
          <t>Buy in US</t>
        </is>
      </c>
      <c r="K453" t="inlineStr">
        <is>
          <t>No</t>
        </is>
      </c>
      <c r="M453" t="inlineStr">
        <is>
          <t>Hold</t>
        </is>
      </c>
    </row>
    <row r="454">
      <c r="A454" t="n">
        <v>453</v>
      </c>
      <c r="B454" t="n">
        <v>19</v>
      </c>
      <c r="C454" t="inlineStr">
        <is>
          <t>Packaging</t>
        </is>
      </c>
      <c r="D454" t="inlineStr">
        <is>
          <t>19-D Labels &amp; Marking</t>
        </is>
      </c>
      <c r="E454" s="24" t="inlineStr">
        <is>
          <t>Paint - Spray, Red</t>
        </is>
      </c>
      <c r="F454" t="inlineStr">
        <is>
          <t>2</t>
        </is>
      </c>
      <c r="G454" s="25" t="inlineStr">
        <is>
          <t>Consumable</t>
        </is>
      </c>
      <c r="H454" s="24" t="inlineStr">
        <is>
          <t>Chemical / print media - used up in use</t>
        </is>
      </c>
      <c r="I454" t="inlineStr">
        <is>
          <t>Kaustubh</t>
        </is>
      </c>
      <c r="J454" t="inlineStr">
        <is>
          <t>Buy in US</t>
        </is>
      </c>
      <c r="K454" t="inlineStr">
        <is>
          <t>No</t>
        </is>
      </c>
      <c r="M454" t="inlineStr">
        <is>
          <t>Hold</t>
        </is>
      </c>
    </row>
    <row r="455">
      <c r="A455" t="n">
        <v>454</v>
      </c>
      <c r="B455" t="n">
        <v>19</v>
      </c>
      <c r="C455" t="inlineStr">
        <is>
          <t>Packaging</t>
        </is>
      </c>
      <c r="D455" t="inlineStr">
        <is>
          <t>19-E Shock &amp; Tilt Indicators</t>
        </is>
      </c>
      <c r="E455" s="24" t="inlineStr">
        <is>
          <t>Tilt Indicator - Tilt Watch XTR</t>
        </is>
      </c>
      <c r="F455" t="inlineStr">
        <is>
          <t>6</t>
        </is>
      </c>
      <c r="G455" s="25" t="inlineStr">
        <is>
          <t>Consumable</t>
        </is>
      </c>
      <c r="H455" s="24" t="inlineStr">
        <is>
          <t>Single-use shock/tilt indicator</t>
        </is>
      </c>
      <c r="I455" t="inlineStr">
        <is>
          <t>Kaustubh</t>
        </is>
      </c>
      <c r="J455" t="inlineStr">
        <is>
          <t>India</t>
        </is>
      </c>
      <c r="K455" t="inlineStr">
        <is>
          <t>No</t>
        </is>
      </c>
      <c r="L455" t="inlineStr">
        <is>
          <t>PR-2026-1575</t>
        </is>
      </c>
      <c r="M455" t="inlineStr">
        <is>
          <t>PR Raised</t>
        </is>
      </c>
    </row>
    <row r="456">
      <c r="A456" t="n">
        <v>455</v>
      </c>
      <c r="B456" t="n">
        <v>19</v>
      </c>
      <c r="C456" t="inlineStr">
        <is>
          <t>Packaging</t>
        </is>
      </c>
      <c r="D456" t="inlineStr">
        <is>
          <t>19-E Shock &amp; Tilt Indicators</t>
        </is>
      </c>
      <c r="E456" s="24" t="inlineStr">
        <is>
          <t>Tilt Indicator - Tilt Watch Plus</t>
        </is>
      </c>
      <c r="F456" t="inlineStr">
        <is>
          <t>6</t>
        </is>
      </c>
      <c r="G456" s="25" t="inlineStr">
        <is>
          <t>Consumable</t>
        </is>
      </c>
      <c r="H456" s="24" t="inlineStr">
        <is>
          <t>Single-use shock/tilt indicator</t>
        </is>
      </c>
      <c r="I456" t="inlineStr">
        <is>
          <t>Kaustubh</t>
        </is>
      </c>
      <c r="J456" t="inlineStr">
        <is>
          <t>India</t>
        </is>
      </c>
      <c r="K456" t="inlineStr">
        <is>
          <t>No</t>
        </is>
      </c>
      <c r="L456" t="inlineStr">
        <is>
          <t>PR-2026-1576</t>
        </is>
      </c>
      <c r="M456" t="inlineStr">
        <is>
          <t>PR Raised</t>
        </is>
      </c>
    </row>
    <row r="457">
      <c r="A457" t="n">
        <v>456</v>
      </c>
      <c r="B457" t="n">
        <v>19</v>
      </c>
      <c r="C457" t="inlineStr">
        <is>
          <t>Packaging</t>
        </is>
      </c>
      <c r="D457" t="inlineStr">
        <is>
          <t>19-F Storage Boxes</t>
        </is>
      </c>
      <c r="E457" s="24" t="inlineStr">
        <is>
          <t>Storage Box - IKEA Stackable</t>
        </is>
      </c>
      <c r="F457" t="inlineStr">
        <is>
          <t>TBD</t>
        </is>
      </c>
      <c r="G457" s="26" t="inlineStr">
        <is>
          <t>Not consumable</t>
        </is>
      </c>
      <c r="H457" s="24" t="inlineStr">
        <is>
          <t>Reusable packaging asset</t>
        </is>
      </c>
      <c r="I457" t="inlineStr">
        <is>
          <t>Kaustubh</t>
        </is>
      </c>
      <c r="J457" t="inlineStr">
        <is>
          <t>India</t>
        </is>
      </c>
      <c r="K457" t="inlineStr">
        <is>
          <t>No</t>
        </is>
      </c>
      <c r="L457" t="inlineStr">
        <is>
          <t>PR-2026-1673</t>
        </is>
      </c>
      <c r="M457" t="inlineStr">
        <is>
          <t>PR Raised</t>
        </is>
      </c>
    </row>
    <row r="458">
      <c r="A458" t="n">
        <v>457</v>
      </c>
      <c r="B458" t="n">
        <v>2</v>
      </c>
      <c r="C458" t="inlineStr">
        <is>
          <t>Bringup Kit</t>
        </is>
      </c>
      <c r="D458" t="inlineStr">
        <is>
          <t>2-A Hand Tools</t>
        </is>
      </c>
      <c r="E458" s="24" t="inlineStr">
        <is>
          <t>Knife Blades</t>
        </is>
      </c>
      <c r="F458" t="inlineStr">
        <is>
          <t>1</t>
        </is>
      </c>
      <c r="G458" s="25" t="inlineStr">
        <is>
          <t>Consumable</t>
        </is>
      </c>
      <c r="H458" s="24" t="inlineStr">
        <is>
          <t>Wear/disposable item replaced routinely</t>
        </is>
      </c>
      <c r="I458" t="inlineStr">
        <is>
          <t>Kaustubh</t>
        </is>
      </c>
      <c r="J458" t="inlineStr">
        <is>
          <t>India</t>
        </is>
      </c>
      <c r="K458" t="inlineStr">
        <is>
          <t>No</t>
        </is>
      </c>
      <c r="L458" t="inlineStr">
        <is>
          <t>PR-2026-1651</t>
        </is>
      </c>
      <c r="M458" t="inlineStr">
        <is>
          <t>PR Raised</t>
        </is>
      </c>
      <c r="N458" t="inlineStr">
        <is>
          <t>Mobile (travels with robot)</t>
        </is>
      </c>
    </row>
    <row r="459">
      <c r="A459" t="n">
        <v>458</v>
      </c>
      <c r="B459" t="n">
        <v>2</v>
      </c>
      <c r="C459" t="inlineStr">
        <is>
          <t>Bringup Kit</t>
        </is>
      </c>
      <c r="D459" t="inlineStr">
        <is>
          <t>2-B Calibration Targets</t>
        </is>
      </c>
      <c r="E459" s="24" t="inlineStr">
        <is>
          <t>Calibration Target - Lidar + Camera</t>
        </is>
      </c>
      <c r="F459" t="inlineStr">
        <is>
          <t>1</t>
        </is>
      </c>
      <c r="G459" s="26" t="inlineStr">
        <is>
          <t>Not consumable</t>
        </is>
      </c>
      <c r="H459" s="24" t="inlineStr">
        <is>
          <t>Durable equipment / spare component</t>
        </is>
      </c>
      <c r="I459" t="inlineStr">
        <is>
          <t>Kaustubh</t>
        </is>
      </c>
      <c r="J459" t="inlineStr">
        <is>
          <t>India</t>
        </is>
      </c>
      <c r="K459" t="inlineStr">
        <is>
          <t>No</t>
        </is>
      </c>
      <c r="M459" t="inlineStr">
        <is>
          <t>To be Prepared</t>
        </is>
      </c>
      <c r="N459" t="inlineStr">
        <is>
          <t>Mobile (travels with robot)</t>
        </is>
      </c>
    </row>
    <row r="460">
      <c r="A460" t="n">
        <v>459</v>
      </c>
      <c r="B460" t="n">
        <v>2</v>
      </c>
      <c r="C460" t="inlineStr">
        <is>
          <t>Bringup Kit</t>
        </is>
      </c>
      <c r="D460" t="inlineStr">
        <is>
          <t>2-B Calibration Targets</t>
        </is>
      </c>
      <c r="E460" s="24" t="inlineStr">
        <is>
          <t>Calibration Target - Camera</t>
        </is>
      </c>
      <c r="F460" t="inlineStr">
        <is>
          <t>1</t>
        </is>
      </c>
      <c r="G460" s="26" t="inlineStr">
        <is>
          <t>Not consumable</t>
        </is>
      </c>
      <c r="H460" s="24" t="inlineStr">
        <is>
          <t>Durable equipment / spare component</t>
        </is>
      </c>
      <c r="I460" t="inlineStr">
        <is>
          <t>Kaustubh</t>
        </is>
      </c>
      <c r="J460" t="inlineStr">
        <is>
          <t>India</t>
        </is>
      </c>
      <c r="K460" t="inlineStr">
        <is>
          <t>No</t>
        </is>
      </c>
      <c r="M460" t="inlineStr">
        <is>
          <t>To be Prepared</t>
        </is>
      </c>
      <c r="N460" t="inlineStr">
        <is>
          <t>Mobile (travels with robot)</t>
        </is>
      </c>
    </row>
    <row r="461">
      <c r="A461" t="n">
        <v>460</v>
      </c>
      <c r="B461" t="n">
        <v>2</v>
      </c>
      <c r="C461" t="inlineStr">
        <is>
          <t>Bringup Kit</t>
        </is>
      </c>
      <c r="D461" t="inlineStr">
        <is>
          <t>2-B Calibration Targets</t>
        </is>
      </c>
      <c r="E461" s="24" t="inlineStr">
        <is>
          <t>Calibration Target - 2D Lidar (TBD)</t>
        </is>
      </c>
      <c r="F461" t="inlineStr">
        <is>
          <t>TBD</t>
        </is>
      </c>
      <c r="G461" s="26" t="inlineStr">
        <is>
          <t>Not consumable</t>
        </is>
      </c>
      <c r="H461" s="24" t="inlineStr">
        <is>
          <t>Durable equipment / spare component</t>
        </is>
      </c>
      <c r="I461" t="inlineStr">
        <is>
          <t>Kaustubh</t>
        </is>
      </c>
      <c r="J461" t="inlineStr">
        <is>
          <t>India</t>
        </is>
      </c>
      <c r="K461" t="inlineStr">
        <is>
          <t>No</t>
        </is>
      </c>
      <c r="M461" t="inlineStr">
        <is>
          <t>To be Prepared</t>
        </is>
      </c>
    </row>
    <row r="462">
      <c r="A462" t="n">
        <v>461</v>
      </c>
      <c r="B462" t="n">
        <v>2</v>
      </c>
      <c r="C462" t="inlineStr">
        <is>
          <t>Bringup Kit</t>
        </is>
      </c>
      <c r="D462" t="inlineStr">
        <is>
          <t>2-B Calibration Targets</t>
        </is>
      </c>
      <c r="E462" s="24" t="inlineStr">
        <is>
          <t>Calibration Apparatus- Navigation Lidar</t>
        </is>
      </c>
      <c r="F462" t="inlineStr">
        <is>
          <t>4 profiles 20*60</t>
        </is>
      </c>
      <c r="G462" s="26" t="inlineStr">
        <is>
          <t>Not consumable</t>
        </is>
      </c>
      <c r="H462" s="24" t="inlineStr">
        <is>
          <t>Durable equipment / spare component</t>
        </is>
      </c>
      <c r="I462" t="inlineStr">
        <is>
          <t>Kaustubh</t>
        </is>
      </c>
      <c r="J462" t="inlineStr">
        <is>
          <t>India</t>
        </is>
      </c>
      <c r="K462" t="inlineStr">
        <is>
          <t>No</t>
        </is>
      </c>
      <c r="M462" t="inlineStr">
        <is>
          <t>To be Prepared</t>
        </is>
      </c>
    </row>
    <row r="463">
      <c r="A463" t="n">
        <v>462</v>
      </c>
      <c r="B463" t="n">
        <v>2</v>
      </c>
      <c r="C463" t="inlineStr">
        <is>
          <t>Bringup Kit</t>
        </is>
      </c>
      <c r="D463" t="inlineStr">
        <is>
          <t>2-C EOA Quick-Lock &amp; Arm Hardware</t>
        </is>
      </c>
      <c r="E463" s="24" t="inlineStr">
        <is>
          <t>EOA Quick Lock - D1 Spec, Stationary Part</t>
        </is>
      </c>
      <c r="F463" t="inlineStr">
        <is>
          <t>1</t>
        </is>
      </c>
      <c r="G463" s="26" t="inlineStr">
        <is>
          <t>Not consumable</t>
        </is>
      </c>
      <c r="H463" s="24" t="inlineStr">
        <is>
          <t>Durable equipment / spare component</t>
        </is>
      </c>
      <c r="I463" t="inlineStr">
        <is>
          <t>Kaustubh</t>
        </is>
      </c>
      <c r="J463" t="inlineStr">
        <is>
          <t>India</t>
        </is>
      </c>
      <c r="K463" t="inlineStr">
        <is>
          <t>No</t>
        </is>
      </c>
      <c r="M463" t="inlineStr">
        <is>
          <t>IQC Stage</t>
        </is>
      </c>
      <c r="N463" t="inlineStr">
        <is>
          <t>Mobile (travels with robot)</t>
        </is>
      </c>
    </row>
    <row r="464">
      <c r="A464" t="n">
        <v>463</v>
      </c>
      <c r="B464" t="n">
        <v>2</v>
      </c>
      <c r="C464" t="inlineStr">
        <is>
          <t>Bringup Kit</t>
        </is>
      </c>
      <c r="D464" t="inlineStr">
        <is>
          <t>2-C EOA Quick-Lock &amp; Arm Hardware</t>
        </is>
      </c>
      <c r="E464" s="24" t="inlineStr">
        <is>
          <t>Bolt - Socket Cap (SHCS), M5 x 16 mm - EOA quick-lock fastener</t>
        </is>
      </c>
      <c r="F464" t="inlineStr">
        <is>
          <t>6</t>
        </is>
      </c>
      <c r="G464" s="25" t="inlineStr">
        <is>
          <t>Consumable</t>
        </is>
      </c>
      <c r="H464" s="24" t="inlineStr">
        <is>
          <t>Bulk fastener - consumable-class stock</t>
        </is>
      </c>
      <c r="I464" t="inlineStr">
        <is>
          <t>Kaustubh</t>
        </is>
      </c>
      <c r="J464" t="inlineStr">
        <is>
          <t>India</t>
        </is>
      </c>
      <c r="K464" t="inlineStr">
        <is>
          <t>No</t>
        </is>
      </c>
      <c r="M464" t="inlineStr">
        <is>
          <t>IQC Stage</t>
        </is>
      </c>
      <c r="N464" t="inlineStr">
        <is>
          <t>Mobile (travels with robot)</t>
        </is>
      </c>
    </row>
    <row r="465">
      <c r="A465" t="n">
        <v>464</v>
      </c>
      <c r="B465" t="n">
        <v>2</v>
      </c>
      <c r="C465" t="inlineStr">
        <is>
          <t>Bringup Kit</t>
        </is>
      </c>
      <c r="D465" t="inlineStr">
        <is>
          <t>2-C EOA Quick-Lock &amp; Arm Hardware</t>
        </is>
      </c>
      <c r="E465" s="24" t="inlineStr">
        <is>
          <t>Bolt - Socket Cap (SHCS), M8 x 50 mm - arm mounting</t>
        </is>
      </c>
      <c r="F465" t="inlineStr">
        <is>
          <t>4</t>
        </is>
      </c>
      <c r="G465" s="25" t="inlineStr">
        <is>
          <t>Consumable</t>
        </is>
      </c>
      <c r="H465" s="24" t="inlineStr">
        <is>
          <t>Bulk fastener - consumable-class stock</t>
        </is>
      </c>
      <c r="I465" t="inlineStr">
        <is>
          <t>Kaustubh</t>
        </is>
      </c>
      <c r="J465" t="inlineStr">
        <is>
          <t>India</t>
        </is>
      </c>
      <c r="K465" t="inlineStr">
        <is>
          <t>No</t>
        </is>
      </c>
      <c r="M465" t="inlineStr">
        <is>
          <t>IQC Stage</t>
        </is>
      </c>
      <c r="N465" t="inlineStr">
        <is>
          <t>Mobile (travels with robot)</t>
        </is>
      </c>
    </row>
    <row r="466">
      <c r="A466" t="n">
        <v>465</v>
      </c>
      <c r="B466" t="n">
        <v>2</v>
      </c>
      <c r="C466" t="inlineStr">
        <is>
          <t>Bringup Kit</t>
        </is>
      </c>
      <c r="D466" t="inlineStr">
        <is>
          <t>2-C EOA Quick-Lock &amp; Arm Hardware</t>
        </is>
      </c>
      <c r="E466" s="24" t="inlineStr">
        <is>
          <t>Bolt - Socket Cap (SHCS), M8 x 40 mm - arm mounting</t>
        </is>
      </c>
      <c r="F466" t="inlineStr">
        <is>
          <t>4</t>
        </is>
      </c>
      <c r="G466" s="25" t="inlineStr">
        <is>
          <t>Consumable</t>
        </is>
      </c>
      <c r="H466" s="24" t="inlineStr">
        <is>
          <t>Bulk fastener - consumable-class stock</t>
        </is>
      </c>
      <c r="I466" t="inlineStr">
        <is>
          <t>Kaustubh</t>
        </is>
      </c>
      <c r="J466" t="inlineStr">
        <is>
          <t>India</t>
        </is>
      </c>
      <c r="K466" t="inlineStr">
        <is>
          <t>No</t>
        </is>
      </c>
      <c r="M466" t="inlineStr">
        <is>
          <t>IQC Stage</t>
        </is>
      </c>
      <c r="N466" t="inlineStr">
        <is>
          <t>Mobile (travels with robot)</t>
        </is>
      </c>
    </row>
    <row r="467">
      <c r="A467" t="n">
        <v>466</v>
      </c>
      <c r="B467" t="n">
        <v>2</v>
      </c>
      <c r="C467" t="inlineStr">
        <is>
          <t>Bringup Kit</t>
        </is>
      </c>
      <c r="D467" t="inlineStr">
        <is>
          <t>2-C EOA Quick-Lock &amp; Arm Hardware</t>
        </is>
      </c>
      <c r="E467" s="24" t="inlineStr">
        <is>
          <t>Nut - Nylon Lock, M8 - arm mounting</t>
        </is>
      </c>
      <c r="F467" t="inlineStr">
        <is>
          <t>4</t>
        </is>
      </c>
      <c r="G467" s="25" t="inlineStr">
        <is>
          <t>Consumable</t>
        </is>
      </c>
      <c r="H467" s="24" t="inlineStr">
        <is>
          <t>Bulk fastener - consumable-class stock</t>
        </is>
      </c>
      <c r="I467" t="inlineStr">
        <is>
          <t>Kaustubh</t>
        </is>
      </c>
      <c r="J467" t="inlineStr">
        <is>
          <t>India</t>
        </is>
      </c>
      <c r="K467" t="inlineStr">
        <is>
          <t>No</t>
        </is>
      </c>
      <c r="M467" t="inlineStr">
        <is>
          <t>IQC Stage</t>
        </is>
      </c>
      <c r="N467" t="inlineStr">
        <is>
          <t>Mobile (travels with robot)</t>
        </is>
      </c>
    </row>
    <row r="468">
      <c r="A468" t="n">
        <v>467</v>
      </c>
      <c r="B468" t="n">
        <v>2</v>
      </c>
      <c r="C468" t="inlineStr">
        <is>
          <t>Bringup Kit</t>
        </is>
      </c>
      <c r="D468" t="inlineStr">
        <is>
          <t>2-D Cameras &amp; Mounts</t>
        </is>
      </c>
      <c r="E468" s="24" t="inlineStr">
        <is>
          <t>Camera - Econ, Planner Side Right, with mount</t>
        </is>
      </c>
      <c r="F468" t="inlineStr">
        <is>
          <t>1</t>
        </is>
      </c>
      <c r="G468" s="26" t="inlineStr">
        <is>
          <t>Not consumable</t>
        </is>
      </c>
      <c r="H468" s="24" t="inlineStr">
        <is>
          <t>Durable equipment / spare component</t>
        </is>
      </c>
      <c r="I468" t="inlineStr">
        <is>
          <t>Kaustubh</t>
        </is>
      </c>
      <c r="J468" t="inlineStr">
        <is>
          <t>India</t>
        </is>
      </c>
      <c r="K468" t="inlineStr">
        <is>
          <t>No</t>
        </is>
      </c>
      <c r="M468" t="inlineStr">
        <is>
          <t>IQC Stage</t>
        </is>
      </c>
      <c r="N468" t="inlineStr">
        <is>
          <t>Mobile (travels with robot)</t>
        </is>
      </c>
    </row>
    <row r="469">
      <c r="A469" t="n">
        <v>468</v>
      </c>
      <c r="B469" t="n">
        <v>2</v>
      </c>
      <c r="C469" t="inlineStr">
        <is>
          <t>Bringup Kit</t>
        </is>
      </c>
      <c r="D469" t="inlineStr">
        <is>
          <t>2-D Cameras &amp; Mounts</t>
        </is>
      </c>
      <c r="E469" s="24" t="inlineStr">
        <is>
          <t>Camera - Econ, Planner Side Left, with mount</t>
        </is>
      </c>
      <c r="F469" t="inlineStr">
        <is>
          <t>1</t>
        </is>
      </c>
      <c r="G469" s="26" t="inlineStr">
        <is>
          <t>Not consumable</t>
        </is>
      </c>
      <c r="H469" s="24" t="inlineStr">
        <is>
          <t>Durable equipment / spare component</t>
        </is>
      </c>
      <c r="I469" t="inlineStr">
        <is>
          <t>Kaustubh</t>
        </is>
      </c>
      <c r="J469" t="inlineStr">
        <is>
          <t>India</t>
        </is>
      </c>
      <c r="K469" t="inlineStr">
        <is>
          <t>No</t>
        </is>
      </c>
      <c r="M469" t="inlineStr">
        <is>
          <t>IQC Stage</t>
        </is>
      </c>
      <c r="N469" t="inlineStr">
        <is>
          <t>Mobile (travels with robot)</t>
        </is>
      </c>
    </row>
    <row r="470">
      <c r="A470" t="n">
        <v>469</v>
      </c>
      <c r="B470" t="n">
        <v>2</v>
      </c>
      <c r="C470" t="inlineStr">
        <is>
          <t>Bringup Kit</t>
        </is>
      </c>
      <c r="D470" t="inlineStr">
        <is>
          <t>2-D Cameras &amp; Mounts</t>
        </is>
      </c>
      <c r="E470" s="24" t="inlineStr">
        <is>
          <t>Bolt - Socket Cap (SHCS), M4 x 16 mm - planner Econ camera mounting</t>
        </is>
      </c>
      <c r="F470" t="inlineStr">
        <is>
          <t>15</t>
        </is>
      </c>
      <c r="G470" s="25" t="inlineStr">
        <is>
          <t>Consumable</t>
        </is>
      </c>
      <c r="H470" s="24" t="inlineStr">
        <is>
          <t>Bulk fastener - consumable-class stock</t>
        </is>
      </c>
      <c r="I470" t="inlineStr">
        <is>
          <t>Kaustubh</t>
        </is>
      </c>
      <c r="J470" t="inlineStr">
        <is>
          <t>India</t>
        </is>
      </c>
      <c r="K470" t="inlineStr">
        <is>
          <t>No</t>
        </is>
      </c>
      <c r="M470" t="inlineStr">
        <is>
          <t>IQC Stage</t>
        </is>
      </c>
      <c r="N470" t="inlineStr">
        <is>
          <t>Mobile (travels with robot)</t>
        </is>
      </c>
    </row>
    <row r="471">
      <c r="A471" t="n">
        <v>470</v>
      </c>
      <c r="B471" t="n">
        <v>2</v>
      </c>
      <c r="C471" t="inlineStr">
        <is>
          <t>Bringup Kit</t>
        </is>
      </c>
      <c r="D471" t="inlineStr">
        <is>
          <t>2-D Cameras &amp; Mounts</t>
        </is>
      </c>
      <c r="E471" s="24" t="inlineStr">
        <is>
          <t>Nut - T-Slot / Hammer, M4 (20x20 profile) - planner Econ camera mounting</t>
        </is>
      </c>
      <c r="F471" t="inlineStr">
        <is>
          <t>15</t>
        </is>
      </c>
      <c r="G471" s="25" t="inlineStr">
        <is>
          <t>Consumable</t>
        </is>
      </c>
      <c r="H471" s="24" t="inlineStr">
        <is>
          <t>Bulk fastener - consumable-class stock</t>
        </is>
      </c>
      <c r="I471" t="inlineStr">
        <is>
          <t>Kaustubh</t>
        </is>
      </c>
      <c r="J471" t="inlineStr">
        <is>
          <t>India</t>
        </is>
      </c>
      <c r="K471" t="inlineStr">
        <is>
          <t>No</t>
        </is>
      </c>
      <c r="M471" t="inlineStr">
        <is>
          <t>IQC Stage</t>
        </is>
      </c>
      <c r="N471" t="inlineStr">
        <is>
          <t>Mobile (travels with robot)</t>
        </is>
      </c>
    </row>
    <row r="472">
      <c r="A472" t="n">
        <v>471</v>
      </c>
      <c r="B472" t="n">
        <v>2</v>
      </c>
      <c r="C472" t="inlineStr">
        <is>
          <t>Bringup Kit</t>
        </is>
      </c>
      <c r="D472" t="inlineStr">
        <is>
          <t>2-E Electronics &amp; Cables</t>
        </is>
      </c>
      <c r="E472" s="24" t="inlineStr">
        <is>
          <t>SSD - External, SanDisk 4 TB - Controller Orin</t>
        </is>
      </c>
      <c r="F472" t="inlineStr">
        <is>
          <t>1</t>
        </is>
      </c>
      <c r="G472" s="26" t="inlineStr">
        <is>
          <t>Not consumable</t>
        </is>
      </c>
      <c r="H472" s="24" t="inlineStr">
        <is>
          <t>Durable equipment / spare component</t>
        </is>
      </c>
      <c r="I472" t="inlineStr">
        <is>
          <t>Badri</t>
        </is>
      </c>
      <c r="J472" t="inlineStr">
        <is>
          <t>India</t>
        </is>
      </c>
      <c r="K472" t="inlineStr">
        <is>
          <t>No</t>
        </is>
      </c>
      <c r="M472" t="inlineStr">
        <is>
          <t>In stock</t>
        </is>
      </c>
      <c r="N472" t="inlineStr">
        <is>
          <t>Mobile (travels with robot)</t>
        </is>
      </c>
    </row>
    <row r="473">
      <c r="A473" t="n">
        <v>472</v>
      </c>
      <c r="B473" t="n">
        <v>2</v>
      </c>
      <c r="C473" t="inlineStr">
        <is>
          <t>Bringup Kit</t>
        </is>
      </c>
      <c r="D473" t="inlineStr">
        <is>
          <t>2-E Electronics &amp; Cables</t>
        </is>
      </c>
      <c r="E473" s="24" t="inlineStr">
        <is>
          <t>Battery - Li-SOCl2 AA, ER14505 - driver encoder</t>
        </is>
      </c>
      <c r="F473" t="inlineStr">
        <is>
          <t>4.0</t>
        </is>
      </c>
      <c r="G473" s="25" t="inlineStr">
        <is>
          <t>Consumable</t>
        </is>
      </c>
      <c r="H473" s="24" t="inlineStr">
        <is>
          <t>Primary (non-rechargeable) cell</t>
        </is>
      </c>
      <c r="I473" t="inlineStr">
        <is>
          <t>Badri</t>
        </is>
      </c>
      <c r="J473" t="inlineStr">
        <is>
          <t>India</t>
        </is>
      </c>
      <c r="K473" t="inlineStr">
        <is>
          <t>No</t>
        </is>
      </c>
      <c r="M473" t="inlineStr">
        <is>
          <t>IQC Stage</t>
        </is>
      </c>
      <c r="N473" t="inlineStr">
        <is>
          <t>Mobile (travels with robot)</t>
        </is>
      </c>
    </row>
    <row r="474">
      <c r="A474" t="n">
        <v>473</v>
      </c>
      <c r="B474" t="n">
        <v>2</v>
      </c>
      <c r="C474" t="inlineStr">
        <is>
          <t>Bringup Kit</t>
        </is>
      </c>
      <c r="D474" t="inlineStr">
        <is>
          <t>2-E Electronics &amp; Cables</t>
        </is>
      </c>
      <c r="E474" s="24" t="inlineStr">
        <is>
          <t>Converter - RS232 to USB, Waveshare - Kinco motor driver debug</t>
        </is>
      </c>
      <c r="F474" t="inlineStr">
        <is>
          <t>1</t>
        </is>
      </c>
      <c r="G474" s="26" t="inlineStr">
        <is>
          <t>Not consumable</t>
        </is>
      </c>
      <c r="H474" s="24" t="inlineStr">
        <is>
          <t>Durable equipment / spare component</t>
        </is>
      </c>
      <c r="I474" t="inlineStr">
        <is>
          <t>Badri</t>
        </is>
      </c>
      <c r="J474" t="inlineStr">
        <is>
          <t>India</t>
        </is>
      </c>
      <c r="K474" t="inlineStr">
        <is>
          <t>No</t>
        </is>
      </c>
      <c r="M474" t="inlineStr">
        <is>
          <t>In stock</t>
        </is>
      </c>
    </row>
    <row r="475">
      <c r="A475" t="n">
        <v>474</v>
      </c>
      <c r="B475" t="n">
        <v>2</v>
      </c>
      <c r="C475" t="inlineStr">
        <is>
          <t>Bringup Kit</t>
        </is>
      </c>
      <c r="D475" t="inlineStr">
        <is>
          <t>2-E Electronics &amp; Cables</t>
        </is>
      </c>
      <c r="E475" s="24" t="inlineStr">
        <is>
          <t>Converter - CAN FD to USB, Waveshare - robot CAN teleop</t>
        </is>
      </c>
      <c r="F475" t="inlineStr">
        <is>
          <t>1</t>
        </is>
      </c>
      <c r="G475" s="26" t="inlineStr">
        <is>
          <t>Not consumable</t>
        </is>
      </c>
      <c r="H475" s="24" t="inlineStr">
        <is>
          <t>Durable equipment / spare component</t>
        </is>
      </c>
      <c r="I475" t="inlineStr">
        <is>
          <t>Badri</t>
        </is>
      </c>
      <c r="J475" t="inlineStr">
        <is>
          <t>India</t>
        </is>
      </c>
      <c r="K475" t="inlineStr">
        <is>
          <t>No</t>
        </is>
      </c>
      <c r="M475" t="inlineStr">
        <is>
          <t>PR Raised</t>
        </is>
      </c>
    </row>
    <row r="476">
      <c r="A476" t="n">
        <v>475</v>
      </c>
      <c r="B476" t="n">
        <v>2</v>
      </c>
      <c r="C476" t="inlineStr">
        <is>
          <t>Bringup Kit</t>
        </is>
      </c>
      <c r="D476" t="inlineStr">
        <is>
          <t>2-E Electronics &amp; Cables</t>
        </is>
      </c>
      <c r="E476" s="24" t="inlineStr">
        <is>
          <t>Cable - Battery Custom to Anderson SB50A - on-robot battery charging</t>
        </is>
      </c>
      <c r="F476" t="inlineStr">
        <is>
          <t>2.0</t>
        </is>
      </c>
      <c r="G476" s="26" t="inlineStr">
        <is>
          <t>Not consumable</t>
        </is>
      </c>
      <c r="H476" s="24" t="inlineStr">
        <is>
          <t>Durable equipment / spare component</t>
        </is>
      </c>
      <c r="I476" t="inlineStr">
        <is>
          <t>Badri</t>
        </is>
      </c>
      <c r="J476" t="inlineStr">
        <is>
          <t>India</t>
        </is>
      </c>
      <c r="K476" t="inlineStr">
        <is>
          <t>No</t>
        </is>
      </c>
      <c r="M476" t="inlineStr">
        <is>
          <t>To be Prepared</t>
        </is>
      </c>
    </row>
    <row r="477">
      <c r="A477" t="n">
        <v>476</v>
      </c>
      <c r="B477" t="n">
        <v>2</v>
      </c>
      <c r="C477" t="inlineStr">
        <is>
          <t>Bringup Kit</t>
        </is>
      </c>
      <c r="D477" t="inlineStr">
        <is>
          <t>2-E Electronics &amp; Cables</t>
        </is>
      </c>
      <c r="E477" s="24" t="inlineStr">
        <is>
          <t xml:space="preserve">Cable - Battery Ring Lug to Anderson SB120A - Battery Power </t>
        </is>
      </c>
      <c r="F477" t="inlineStr">
        <is>
          <t>2.0</t>
        </is>
      </c>
      <c r="G477" s="26" t="inlineStr">
        <is>
          <t>Not consumable</t>
        </is>
      </c>
      <c r="H477" s="24" t="inlineStr">
        <is>
          <t>Durable equipment / spare component</t>
        </is>
      </c>
      <c r="I477" t="inlineStr">
        <is>
          <t>Badri</t>
        </is>
      </c>
      <c r="J477" t="inlineStr">
        <is>
          <t>India</t>
        </is>
      </c>
      <c r="K477" t="inlineStr">
        <is>
          <t>No</t>
        </is>
      </c>
      <c r="M477" t="inlineStr">
        <is>
          <t>To be Prepared</t>
        </is>
      </c>
    </row>
    <row r="478">
      <c r="A478" t="n">
        <v>477</v>
      </c>
      <c r="B478" t="n">
        <v>2</v>
      </c>
      <c r="C478" t="inlineStr">
        <is>
          <t>Bringup Kit</t>
        </is>
      </c>
      <c r="D478" t="inlineStr">
        <is>
          <t>2-E Electronics &amp; Cables</t>
        </is>
      </c>
      <c r="E478" s="24" t="inlineStr">
        <is>
          <t>Cable- SBH OST Tool DC to AC</t>
        </is>
      </c>
      <c r="F478" t="inlineStr">
        <is>
          <t>1</t>
        </is>
      </c>
      <c r="G478" s="26" t="inlineStr">
        <is>
          <t>Not consumable</t>
        </is>
      </c>
      <c r="H478" s="24" t="inlineStr">
        <is>
          <t>Durable equipment / spare component</t>
        </is>
      </c>
      <c r="I478" t="inlineStr">
        <is>
          <t>Badri</t>
        </is>
      </c>
      <c r="J478" t="inlineStr">
        <is>
          <t>India</t>
        </is>
      </c>
      <c r="K478" t="inlineStr">
        <is>
          <t>No</t>
        </is>
      </c>
      <c r="M478" t="inlineStr">
        <is>
          <t>To be Prepared</t>
        </is>
      </c>
      <c r="N478" t="inlineStr">
        <is>
          <t>Mobile (travels with robot)</t>
        </is>
      </c>
    </row>
    <row r="479">
      <c r="A479" t="n">
        <v>478</v>
      </c>
      <c r="B479" t="n">
        <v>2</v>
      </c>
      <c r="C479" t="inlineStr">
        <is>
          <t>Bringup Kit</t>
        </is>
      </c>
      <c r="D479" t="inlineStr">
        <is>
          <t>2-E Electronics &amp; Cables</t>
        </is>
      </c>
      <c r="E479" s="24" t="inlineStr">
        <is>
          <t>Multimeter</t>
        </is>
      </c>
      <c r="F479" t="inlineStr">
        <is>
          <t>1</t>
        </is>
      </c>
      <c r="G479" s="26" t="inlineStr">
        <is>
          <t>Not consumable</t>
        </is>
      </c>
      <c r="H479" s="24" t="inlineStr">
        <is>
          <t>Durable equipment / spare component</t>
        </is>
      </c>
      <c r="I479" t="inlineStr">
        <is>
          <t>Badri</t>
        </is>
      </c>
      <c r="J479" t="inlineStr">
        <is>
          <t>India</t>
        </is>
      </c>
      <c r="K479" t="inlineStr">
        <is>
          <t>No</t>
        </is>
      </c>
      <c r="M479" t="inlineStr">
        <is>
          <t>In stock</t>
        </is>
      </c>
    </row>
    <row r="480">
      <c r="A480" t="n">
        <v>479</v>
      </c>
      <c r="B480" t="n">
        <v>2</v>
      </c>
      <c r="C480" t="inlineStr">
        <is>
          <t>Bringup Kit</t>
        </is>
      </c>
      <c r="D480" t="inlineStr">
        <is>
          <t>2-F Hose Routing Hardware</t>
        </is>
      </c>
      <c r="E480" s="24" t="inlineStr">
        <is>
          <t>Clamp - Hose, Circular</t>
        </is>
      </c>
      <c r="F480" t="inlineStr">
        <is>
          <t>1</t>
        </is>
      </c>
      <c r="G480" s="26" t="inlineStr">
        <is>
          <t>Not consumable</t>
        </is>
      </c>
      <c r="H480" s="24" t="inlineStr">
        <is>
          <t>Durable equipment / spare component</t>
        </is>
      </c>
      <c r="I480" t="inlineStr">
        <is>
          <t>Kaustubh</t>
        </is>
      </c>
      <c r="J480" t="inlineStr">
        <is>
          <t>India</t>
        </is>
      </c>
      <c r="K480" t="inlineStr">
        <is>
          <t>No</t>
        </is>
      </c>
      <c r="M480" t="inlineStr">
        <is>
          <t>IQC Stage</t>
        </is>
      </c>
      <c r="N480" t="inlineStr">
        <is>
          <t>Mobile (travels with robot)</t>
        </is>
      </c>
    </row>
    <row r="481">
      <c r="A481" t="n">
        <v>480</v>
      </c>
      <c r="B481" t="n">
        <v>2</v>
      </c>
      <c r="C481" t="inlineStr">
        <is>
          <t>Bringup Kit</t>
        </is>
      </c>
      <c r="D481" t="inlineStr">
        <is>
          <t>2-F Hose Routing Hardware</t>
        </is>
      </c>
      <c r="E481" s="24" t="inlineStr">
        <is>
          <t>Clamp - Hose Routing, Metal</t>
        </is>
      </c>
      <c r="F481" t="inlineStr">
        <is>
          <t>4</t>
        </is>
      </c>
      <c r="G481" s="26" t="inlineStr">
        <is>
          <t>Not consumable</t>
        </is>
      </c>
      <c r="H481" s="24" t="inlineStr">
        <is>
          <t>Durable equipment / spare component</t>
        </is>
      </c>
      <c r="I481" t="inlineStr">
        <is>
          <t>Kaustubh</t>
        </is>
      </c>
      <c r="J481" t="inlineStr">
        <is>
          <t>India</t>
        </is>
      </c>
      <c r="K481" t="inlineStr">
        <is>
          <t>No</t>
        </is>
      </c>
      <c r="M481" t="inlineStr">
        <is>
          <t>IQC Stage</t>
        </is>
      </c>
      <c r="N481" t="inlineStr">
        <is>
          <t>Mobile (travels with robot)</t>
        </is>
      </c>
    </row>
    <row r="482">
      <c r="A482" t="n">
        <v>481</v>
      </c>
      <c r="B482" t="n">
        <v>2</v>
      </c>
      <c r="C482" t="inlineStr">
        <is>
          <t>Bringup Kit</t>
        </is>
      </c>
      <c r="D482" t="inlineStr">
        <is>
          <t>2-F Hose Routing Hardware</t>
        </is>
      </c>
      <c r="E482" s="24" t="inlineStr">
        <is>
          <t>Key Ring - Hose Routing</t>
        </is>
      </c>
      <c r="F482" t="inlineStr">
        <is>
          <t>4</t>
        </is>
      </c>
      <c r="G482" s="26" t="inlineStr">
        <is>
          <t>Not consumable</t>
        </is>
      </c>
      <c r="H482" s="24" t="inlineStr">
        <is>
          <t>Durable equipment / spare component</t>
        </is>
      </c>
      <c r="I482" t="inlineStr">
        <is>
          <t>Kaustubh</t>
        </is>
      </c>
      <c r="J482" t="inlineStr">
        <is>
          <t>India</t>
        </is>
      </c>
      <c r="K482" t="inlineStr">
        <is>
          <t>No</t>
        </is>
      </c>
      <c r="M482" t="inlineStr">
        <is>
          <t>IQC Stage</t>
        </is>
      </c>
      <c r="N482" t="inlineStr">
        <is>
          <t>Mobile (travels with robot)</t>
        </is>
      </c>
    </row>
    <row r="483">
      <c r="A483" t="n">
        <v>482</v>
      </c>
      <c r="B483" t="n">
        <v>2</v>
      </c>
      <c r="C483" t="inlineStr">
        <is>
          <t>Bringup Kit</t>
        </is>
      </c>
      <c r="D483" t="inlineStr">
        <is>
          <t>2-G Protective &amp; Misc</t>
        </is>
      </c>
      <c r="E483" s="24" t="inlineStr">
        <is>
          <t>Arm Sock - UR10e protective cover</t>
        </is>
      </c>
      <c r="F483" t="inlineStr">
        <is>
          <t>1</t>
        </is>
      </c>
      <c r="G483" s="26" t="inlineStr">
        <is>
          <t>Not consumable</t>
        </is>
      </c>
      <c r="H483" s="24" t="inlineStr">
        <is>
          <t>Durable equipment / spare component</t>
        </is>
      </c>
      <c r="I483" t="inlineStr">
        <is>
          <t>Kaustubh</t>
        </is>
      </c>
      <c r="J483" t="inlineStr">
        <is>
          <t>India</t>
        </is>
      </c>
      <c r="K483" t="inlineStr">
        <is>
          <t>No</t>
        </is>
      </c>
      <c r="L483" t="inlineStr">
        <is>
          <t>PR-2026-1641</t>
        </is>
      </c>
      <c r="M483" t="inlineStr">
        <is>
          <t>PR Raised</t>
        </is>
      </c>
      <c r="N483" t="inlineStr">
        <is>
          <t>Mobile (travels with robot)</t>
        </is>
      </c>
    </row>
    <row r="484">
      <c r="A484" t="n">
        <v>483</v>
      </c>
      <c r="B484" t="n">
        <v>2</v>
      </c>
      <c r="C484" t="inlineStr">
        <is>
          <t>Bringup Kit</t>
        </is>
      </c>
      <c r="D484" t="inlineStr">
        <is>
          <t>2-G Protective &amp; Misc</t>
        </is>
      </c>
      <c r="E484" s="24" t="inlineStr">
        <is>
          <t>Threadlocker - Loctite 243 (medium strength)</t>
        </is>
      </c>
      <c r="F484" t="inlineStr">
        <is>
          <t>1</t>
        </is>
      </c>
      <c r="G484" s="25" t="inlineStr">
        <is>
          <t>Consumable</t>
        </is>
      </c>
      <c r="H484" s="24" t="inlineStr">
        <is>
          <t>Chemical / adhesive - used up in use</t>
        </is>
      </c>
      <c r="I484" t="inlineStr">
        <is>
          <t>Kaustubh</t>
        </is>
      </c>
      <c r="J484" t="inlineStr">
        <is>
          <t>India</t>
        </is>
      </c>
      <c r="K484" t="inlineStr">
        <is>
          <t>No</t>
        </is>
      </c>
      <c r="M484" t="inlineStr">
        <is>
          <t>IQC Stage</t>
        </is>
      </c>
      <c r="N484" t="inlineStr">
        <is>
          <t>Mobile (travels with robot)</t>
        </is>
      </c>
    </row>
    <row r="485">
      <c r="A485" t="n">
        <v>484</v>
      </c>
      <c r="B485" t="n">
        <v>9</v>
      </c>
      <c r="C485" t="inlineStr">
        <is>
          <t>Compute &amp; Network</t>
        </is>
      </c>
      <c r="D485" t="inlineStr">
        <is>
          <t>9-A Compute Modules</t>
        </is>
      </c>
      <c r="E485" s="24" t="inlineStr">
        <is>
          <t>Compute - Mivii Evo Orin</t>
        </is>
      </c>
      <c r="F485" t="inlineStr">
        <is>
          <t>1</t>
        </is>
      </c>
      <c r="G485" s="26" t="inlineStr">
        <is>
          <t>Not consumable</t>
        </is>
      </c>
      <c r="H485" s="24" t="inlineStr">
        <is>
          <t>Durable equipment / spare component</t>
        </is>
      </c>
      <c r="I485" t="inlineStr">
        <is>
          <t>Badri</t>
        </is>
      </c>
      <c r="J485" t="inlineStr">
        <is>
          <t>India</t>
        </is>
      </c>
      <c r="K485" t="inlineStr">
        <is>
          <t>Yes</t>
        </is>
      </c>
      <c r="L485" t="inlineStr">
        <is>
          <t>PR-2026-1690</t>
        </is>
      </c>
      <c r="M485" t="inlineStr">
        <is>
          <t>In stock</t>
        </is>
      </c>
      <c r="N485" t="inlineStr">
        <is>
          <t>Mobile (travels with robot)</t>
        </is>
      </c>
    </row>
    <row r="486">
      <c r="A486" t="n">
        <v>485</v>
      </c>
      <c r="B486" t="n">
        <v>9</v>
      </c>
      <c r="C486" t="inlineStr">
        <is>
          <t>Compute &amp; Network</t>
        </is>
      </c>
      <c r="D486" t="inlineStr">
        <is>
          <t>9-A Compute Modules</t>
        </is>
      </c>
      <c r="E486" s="24" t="inlineStr">
        <is>
          <t>Compute - NVIDIA AGX Orin Devkit - planner</t>
        </is>
      </c>
      <c r="F486" t="inlineStr">
        <is>
          <t>1</t>
        </is>
      </c>
      <c r="G486" s="26" t="inlineStr">
        <is>
          <t>Not consumable</t>
        </is>
      </c>
      <c r="H486" s="24" t="inlineStr">
        <is>
          <t>Durable equipment / spare component</t>
        </is>
      </c>
      <c r="I486" t="inlineStr">
        <is>
          <t>Badri</t>
        </is>
      </c>
      <c r="J486" t="inlineStr">
        <is>
          <t>India</t>
        </is>
      </c>
      <c r="K486" t="inlineStr">
        <is>
          <t>Yes</t>
        </is>
      </c>
      <c r="L486" t="inlineStr">
        <is>
          <t>PR-2026-1691</t>
        </is>
      </c>
      <c r="M486" t="inlineStr">
        <is>
          <t>PR Raised</t>
        </is>
      </c>
      <c r="N486" t="inlineStr">
        <is>
          <t>Mobile (travels with robot)</t>
        </is>
      </c>
    </row>
    <row r="487">
      <c r="A487" t="n">
        <v>486</v>
      </c>
      <c r="B487" t="n">
        <v>9</v>
      </c>
      <c r="C487" t="inlineStr">
        <is>
          <t>Compute &amp; Network</t>
        </is>
      </c>
      <c r="D487" t="inlineStr">
        <is>
          <t>9-A Compute Modules</t>
        </is>
      </c>
      <c r="E487" s="24" t="inlineStr">
        <is>
          <t>Compute - NVIDIA Jetson Orin Nano Devkit 8 GB - HHM</t>
        </is>
      </c>
      <c r="F487" t="inlineStr">
        <is>
          <t>1</t>
        </is>
      </c>
      <c r="G487" s="26" t="inlineStr">
        <is>
          <t>Not consumable</t>
        </is>
      </c>
      <c r="H487" s="24" t="inlineStr">
        <is>
          <t>Durable equipment / spare component</t>
        </is>
      </c>
      <c r="I487" t="inlineStr">
        <is>
          <t>Uttez</t>
        </is>
      </c>
      <c r="J487" t="inlineStr">
        <is>
          <t>India</t>
        </is>
      </c>
      <c r="K487" t="inlineStr">
        <is>
          <t>No</t>
        </is>
      </c>
      <c r="M487" t="inlineStr">
        <is>
          <t>IQC Stage</t>
        </is>
      </c>
      <c r="N487" t="inlineStr">
        <is>
          <t>Mobile (travels with robot)</t>
        </is>
      </c>
    </row>
    <row r="488">
      <c r="A488" t="n">
        <v>487</v>
      </c>
      <c r="B488" t="n">
        <v>9</v>
      </c>
      <c r="C488" t="inlineStr">
        <is>
          <t>Compute &amp; Network</t>
        </is>
      </c>
      <c r="D488" t="inlineStr">
        <is>
          <t>9-B Storage</t>
        </is>
      </c>
      <c r="E488" s="24" t="inlineStr">
        <is>
          <t>SSD - External, SanDisk 4 TB - Controller Orin</t>
        </is>
      </c>
      <c r="F488" t="inlineStr">
        <is>
          <t>1</t>
        </is>
      </c>
      <c r="G488" s="26" t="inlineStr">
        <is>
          <t>Not consumable</t>
        </is>
      </c>
      <c r="H488" s="24" t="inlineStr">
        <is>
          <t>Durable equipment / spare component</t>
        </is>
      </c>
      <c r="I488" t="inlineStr">
        <is>
          <t>Badri</t>
        </is>
      </c>
      <c r="J488" t="inlineStr">
        <is>
          <t>India</t>
        </is>
      </c>
      <c r="K488" t="inlineStr">
        <is>
          <t>No</t>
        </is>
      </c>
      <c r="M488" t="inlineStr">
        <is>
          <t>IQC Stage</t>
        </is>
      </c>
      <c r="N488" t="inlineStr">
        <is>
          <t>Mobile (travels with robot)</t>
        </is>
      </c>
    </row>
    <row r="489">
      <c r="A489" t="n">
        <v>488</v>
      </c>
      <c r="B489" t="n">
        <v>9</v>
      </c>
      <c r="C489" t="inlineStr">
        <is>
          <t>Compute &amp; Network</t>
        </is>
      </c>
      <c r="D489" t="inlineStr">
        <is>
          <t>9-B Storage</t>
        </is>
      </c>
      <c r="E489" s="24" t="inlineStr">
        <is>
          <t>SD Card - Full Size, 4 GB Class 10 ( Flashed with Polyscope)</t>
        </is>
      </c>
      <c r="F489" t="inlineStr">
        <is>
          <t>1</t>
        </is>
      </c>
      <c r="G489" s="26" t="inlineStr">
        <is>
          <t>Not consumable</t>
        </is>
      </c>
      <c r="H489" s="24" t="inlineStr">
        <is>
          <t>Durable equipment / spare component</t>
        </is>
      </c>
      <c r="I489" t="inlineStr">
        <is>
          <t>Badri</t>
        </is>
      </c>
      <c r="J489" t="inlineStr">
        <is>
          <t>India</t>
        </is>
      </c>
      <c r="K489" t="inlineStr">
        <is>
          <t>No</t>
        </is>
      </c>
      <c r="M489" t="inlineStr">
        <is>
          <t>PR Raised</t>
        </is>
      </c>
    </row>
    <row r="490">
      <c r="A490" t="n">
        <v>489</v>
      </c>
      <c r="B490" t="n">
        <v>9</v>
      </c>
      <c r="C490" t="inlineStr">
        <is>
          <t>Compute &amp; Network</t>
        </is>
      </c>
      <c r="D490" t="inlineStr">
        <is>
          <t>9-C Network Gear</t>
        </is>
      </c>
      <c r="E490" s="24" t="inlineStr">
        <is>
          <t>Network Switch - IES3110-8TF - controller</t>
        </is>
      </c>
      <c r="F490" t="inlineStr">
        <is>
          <t>1</t>
        </is>
      </c>
      <c r="G490" s="26" t="inlineStr">
        <is>
          <t>Not consumable</t>
        </is>
      </c>
      <c r="H490" s="24" t="inlineStr">
        <is>
          <t>Durable equipment / spare component</t>
        </is>
      </c>
      <c r="I490" t="inlineStr">
        <is>
          <t>Badri</t>
        </is>
      </c>
      <c r="J490" t="inlineStr">
        <is>
          <t>India</t>
        </is>
      </c>
      <c r="K490" t="inlineStr">
        <is>
          <t>No</t>
        </is>
      </c>
      <c r="M490" t="inlineStr">
        <is>
          <t>PR Raised</t>
        </is>
      </c>
      <c r="N490" t="inlineStr">
        <is>
          <t>Mobile (travels with robot)</t>
        </is>
      </c>
    </row>
    <row r="491">
      <c r="A491" t="n">
        <v>490</v>
      </c>
      <c r="B491" t="n">
        <v>9</v>
      </c>
      <c r="C491" t="inlineStr">
        <is>
          <t>Compute &amp; Network</t>
        </is>
      </c>
      <c r="D491" t="inlineStr">
        <is>
          <t>9-C Network Gear</t>
        </is>
      </c>
      <c r="E491" s="24" t="inlineStr">
        <is>
          <t>Network Switch - TSN3220 - planner</t>
        </is>
      </c>
      <c r="F491" t="inlineStr">
        <is>
          <t>1</t>
        </is>
      </c>
      <c r="G491" s="26" t="inlineStr">
        <is>
          <t>Not consumable</t>
        </is>
      </c>
      <c r="H491" s="24" t="inlineStr">
        <is>
          <t>Durable equipment / spare component</t>
        </is>
      </c>
      <c r="I491" t="inlineStr">
        <is>
          <t>Badri</t>
        </is>
      </c>
      <c r="J491" t="inlineStr">
        <is>
          <t>India</t>
        </is>
      </c>
      <c r="K491" t="inlineStr">
        <is>
          <t>Yes</t>
        </is>
      </c>
      <c r="L491" t="inlineStr">
        <is>
          <t>PR-2026-1692</t>
        </is>
      </c>
      <c r="M491" t="inlineStr">
        <is>
          <t>PR Raised</t>
        </is>
      </c>
      <c r="N491" t="inlineStr">
        <is>
          <t>Mobile (travels with robot)</t>
        </is>
      </c>
    </row>
    <row r="492">
      <c r="A492" t="n">
        <v>491</v>
      </c>
      <c r="B492" t="n">
        <v>9</v>
      </c>
      <c r="C492" t="inlineStr">
        <is>
          <t>Compute &amp; Network</t>
        </is>
      </c>
      <c r="D492" t="inlineStr">
        <is>
          <t>9-C Network Gear</t>
        </is>
      </c>
      <c r="E492" s="24" t="inlineStr">
        <is>
          <t>Router - Teltonika RUTM50</t>
        </is>
      </c>
      <c r="F492" t="inlineStr">
        <is>
          <t>1</t>
        </is>
      </c>
      <c r="G492" s="26" t="inlineStr">
        <is>
          <t>Not consumable</t>
        </is>
      </c>
      <c r="H492" s="24" t="inlineStr">
        <is>
          <t>Durable equipment / spare component</t>
        </is>
      </c>
      <c r="I492" t="inlineStr">
        <is>
          <t>Badri</t>
        </is>
      </c>
      <c r="J492" t="inlineStr">
        <is>
          <t>India</t>
        </is>
      </c>
      <c r="K492" t="inlineStr">
        <is>
          <t>Yes</t>
        </is>
      </c>
      <c r="L492" t="inlineStr">
        <is>
          <t>PR-2026-1693</t>
        </is>
      </c>
      <c r="M492" t="inlineStr">
        <is>
          <t>PR Raised</t>
        </is>
      </c>
      <c r="N492" t="inlineStr">
        <is>
          <t>Mobile (travels with robot)</t>
        </is>
      </c>
    </row>
    <row r="493">
      <c r="A493" t="n">
        <v>492</v>
      </c>
      <c r="B493" t="n">
        <v>9</v>
      </c>
      <c r="C493" t="inlineStr">
        <is>
          <t>Compute &amp; Network</t>
        </is>
      </c>
      <c r="D493" t="inlineStr">
        <is>
          <t>9-D Comms Converters</t>
        </is>
      </c>
      <c r="E493" s="24" t="inlineStr">
        <is>
          <t>Converter - CAN to RS232/485/422</t>
        </is>
      </c>
      <c r="F493" t="inlineStr">
        <is>
          <t>1</t>
        </is>
      </c>
      <c r="G493" s="26" t="inlineStr">
        <is>
          <t>Not consumable</t>
        </is>
      </c>
      <c r="H493" s="24" t="inlineStr">
        <is>
          <t>Durable equipment / spare component</t>
        </is>
      </c>
      <c r="I493" t="inlineStr">
        <is>
          <t>Badri</t>
        </is>
      </c>
      <c r="J493" t="inlineStr">
        <is>
          <t>India</t>
        </is>
      </c>
      <c r="K493" t="inlineStr">
        <is>
          <t>Yes</t>
        </is>
      </c>
      <c r="L493" t="inlineStr">
        <is>
          <t>PR-2026-1694</t>
        </is>
      </c>
      <c r="M493" t="inlineStr">
        <is>
          <t>PR Raised</t>
        </is>
      </c>
      <c r="N493" t="inlineStr">
        <is>
          <t>Mobile (travels with robot)</t>
        </is>
      </c>
    </row>
    <row r="494">
      <c r="A494" t="n">
        <v>493</v>
      </c>
      <c r="B494" t="n">
        <v>9</v>
      </c>
      <c r="C494" t="inlineStr">
        <is>
          <t>Compute &amp; Network</t>
        </is>
      </c>
      <c r="D494" t="inlineStr">
        <is>
          <t>9-D Comms Converters</t>
        </is>
      </c>
      <c r="E494" s="24" t="inlineStr">
        <is>
          <t>Deserializer Board - STURDeCAM25 CUOAGX Devkit</t>
        </is>
      </c>
      <c r="F494" t="inlineStr">
        <is>
          <t>1</t>
        </is>
      </c>
      <c r="G494" s="26" t="inlineStr">
        <is>
          <t>Not consumable</t>
        </is>
      </c>
      <c r="H494" s="24" t="inlineStr">
        <is>
          <t>Durable equipment / spare component</t>
        </is>
      </c>
      <c r="I494" t="inlineStr">
        <is>
          <t>Badri</t>
        </is>
      </c>
      <c r="J494" t="inlineStr">
        <is>
          <t>India</t>
        </is>
      </c>
      <c r="K494" t="inlineStr">
        <is>
          <t>Yes</t>
        </is>
      </c>
      <c r="L494" t="inlineStr">
        <is>
          <t>PR-2026-1695</t>
        </is>
      </c>
      <c r="M494" t="inlineStr">
        <is>
          <t>PR Raised</t>
        </is>
      </c>
      <c r="N494" t="inlineStr">
        <is>
          <t>Mobile (travels with robot)</t>
        </is>
      </c>
    </row>
    <row r="495">
      <c r="A495" t="n">
        <v>494</v>
      </c>
      <c r="B495" t="n">
        <v>9</v>
      </c>
      <c r="C495" t="inlineStr">
        <is>
          <t>Compute &amp; Network</t>
        </is>
      </c>
      <c r="D495" t="inlineStr">
        <is>
          <t>9-E HMI &amp; Tablets</t>
        </is>
      </c>
      <c r="E495" s="24" t="inlineStr">
        <is>
          <t>Tablet - Samsung Galaxy Tab S10 FE - HHM</t>
        </is>
      </c>
      <c r="F495" t="inlineStr">
        <is>
          <t>1</t>
        </is>
      </c>
      <c r="G495" s="26" t="inlineStr">
        <is>
          <t>Not consumable</t>
        </is>
      </c>
      <c r="H495" s="24" t="inlineStr">
        <is>
          <t>Durable equipment / spare component</t>
        </is>
      </c>
      <c r="I495" t="inlineStr">
        <is>
          <t>Uttez</t>
        </is>
      </c>
      <c r="J495" t="inlineStr">
        <is>
          <t>India</t>
        </is>
      </c>
      <c r="K495" t="inlineStr">
        <is>
          <t>No</t>
        </is>
      </c>
      <c r="M495" t="inlineStr">
        <is>
          <t>To be purchased</t>
        </is>
      </c>
      <c r="N495" t="inlineStr">
        <is>
          <t>Mobile (travels with robot)</t>
        </is>
      </c>
    </row>
    <row r="496">
      <c r="A496" t="n">
        <v>495</v>
      </c>
      <c r="B496" t="n">
        <v>9</v>
      </c>
      <c r="C496" t="inlineStr">
        <is>
          <t>Mechanical parts</t>
        </is>
      </c>
      <c r="D496" t="inlineStr">
        <is>
          <t>9-E HMI &amp; Tablets</t>
        </is>
      </c>
      <c r="E496" s="24" t="inlineStr">
        <is>
          <t>HMI - Sander Tool (3D printed housing)</t>
        </is>
      </c>
      <c r="F496" t="inlineStr">
        <is>
          <t>1</t>
        </is>
      </c>
      <c r="G496" s="26" t="inlineStr">
        <is>
          <t>Not consumable</t>
        </is>
      </c>
      <c r="H496" s="24" t="inlineStr">
        <is>
          <t>Durable equipment / spare component</t>
        </is>
      </c>
      <c r="I496" t="inlineStr">
        <is>
          <t>SANKALP</t>
        </is>
      </c>
      <c r="J496" t="inlineStr">
        <is>
          <t>India</t>
        </is>
      </c>
      <c r="K496" t="inlineStr">
        <is>
          <t>No</t>
        </is>
      </c>
      <c r="M496" t="inlineStr">
        <is>
          <t>To be Printed</t>
        </is>
      </c>
    </row>
    <row r="497">
      <c r="A497" t="n">
        <v>496</v>
      </c>
      <c r="B497" t="n">
        <v>9</v>
      </c>
      <c r="C497" t="inlineStr">
        <is>
          <t>Compute &amp; Network</t>
        </is>
      </c>
      <c r="D497" t="inlineStr">
        <is>
          <t>9-F Peripherals</t>
        </is>
      </c>
      <c r="E497" s="24" t="inlineStr">
        <is>
          <t>Peripheral Set - Mouse + Keyboard</t>
        </is>
      </c>
      <c r="F497" t="inlineStr">
        <is>
          <t>1</t>
        </is>
      </c>
      <c r="G497" s="26" t="inlineStr">
        <is>
          <t>Not consumable</t>
        </is>
      </c>
      <c r="H497" s="24" t="inlineStr">
        <is>
          <t>Durable equipment / spare component</t>
        </is>
      </c>
      <c r="I497" t="inlineStr">
        <is>
          <t>Badri</t>
        </is>
      </c>
      <c r="J497" t="inlineStr">
        <is>
          <t>India</t>
        </is>
      </c>
      <c r="K497" t="inlineStr">
        <is>
          <t>No</t>
        </is>
      </c>
      <c r="M497" t="inlineStr">
        <is>
          <t>PR Raised</t>
        </is>
      </c>
    </row>
    <row r="498">
      <c r="A498" t="n">
        <v>497</v>
      </c>
      <c r="B498" t="n">
        <v>9</v>
      </c>
      <c r="C498" t="inlineStr">
        <is>
          <t>Compute &amp; Network</t>
        </is>
      </c>
      <c r="D498" t="inlineStr">
        <is>
          <t>9-F Peripherals</t>
        </is>
      </c>
      <c r="E498" s="24" t="inlineStr">
        <is>
          <t>Adapter - USB to HDMI</t>
        </is>
      </c>
      <c r="F498" t="inlineStr">
        <is>
          <t>1</t>
        </is>
      </c>
      <c r="G498" s="26" t="inlineStr">
        <is>
          <t>Not consumable</t>
        </is>
      </c>
      <c r="H498" s="24" t="inlineStr">
        <is>
          <t>Durable equipment / spare component</t>
        </is>
      </c>
      <c r="I498" t="inlineStr">
        <is>
          <t>Badri</t>
        </is>
      </c>
      <c r="J498" t="inlineStr">
        <is>
          <t>India</t>
        </is>
      </c>
      <c r="K498" t="inlineStr">
        <is>
          <t>No</t>
        </is>
      </c>
      <c r="M498" t="inlineStr">
        <is>
          <t>PR Raised</t>
        </is>
      </c>
    </row>
    <row r="499">
      <c r="A499" t="n">
        <v>498</v>
      </c>
      <c r="B499" t="n">
        <v>1</v>
      </c>
      <c r="C499" t="inlineStr">
        <is>
          <t>MoMa</t>
        </is>
      </c>
      <c r="E499" s="24" t="inlineStr">
        <is>
          <t>MoMa V2 Robot (mobile base)</t>
        </is>
      </c>
      <c r="F499" t="inlineStr">
        <is>
          <t>1</t>
        </is>
      </c>
      <c r="G499" s="26" t="inlineStr">
        <is>
          <t>Not consumable</t>
        </is>
      </c>
      <c r="H499" s="24" t="inlineStr">
        <is>
          <t>Durable equipment / spare component</t>
        </is>
      </c>
      <c r="I499" t="inlineStr">
        <is>
          <t>Kaustubh</t>
        </is>
      </c>
      <c r="J499" t="inlineStr">
        <is>
          <t>India</t>
        </is>
      </c>
      <c r="K499" t="inlineStr">
        <is>
          <t>No</t>
        </is>
      </c>
      <c r="M499" t="inlineStr">
        <is>
          <t>IQC Stage</t>
        </is>
      </c>
      <c r="N499" t="inlineStr">
        <is>
          <t>Mobile (travels with robot)</t>
        </is>
      </c>
    </row>
    <row r="500">
      <c r="A500" t="n">
        <v>499</v>
      </c>
      <c r="B500" t="n">
        <v>3</v>
      </c>
      <c r="C500" t="inlineStr">
        <is>
          <t>UR Arm</t>
        </is>
      </c>
      <c r="E500" s="24" t="inlineStr">
        <is>
          <t>Robot Arm - Universal Robots UR10e</t>
        </is>
      </c>
      <c r="F500" t="inlineStr">
        <is>
          <t>1</t>
        </is>
      </c>
      <c r="G500" s="26" t="inlineStr">
        <is>
          <t>Not consumable</t>
        </is>
      </c>
      <c r="H500" s="24" t="inlineStr">
        <is>
          <t>Durable equipment / spare component</t>
        </is>
      </c>
      <c r="I500" t="inlineStr">
        <is>
          <t>Kaustubh</t>
        </is>
      </c>
      <c r="J500" t="inlineStr">
        <is>
          <t>India</t>
        </is>
      </c>
      <c r="K500" t="inlineStr">
        <is>
          <t>No</t>
        </is>
      </c>
      <c r="M500" t="inlineStr">
        <is>
          <t>IQC Stage</t>
        </is>
      </c>
      <c r="N500" t="inlineStr">
        <is>
          <t>Mobile (travels with robot)</t>
        </is>
      </c>
    </row>
    <row r="501">
      <c r="A501" t="n">
        <v>500</v>
      </c>
      <c r="B501" t="n">
        <v>6</v>
      </c>
      <c r="C501" t="inlineStr">
        <is>
          <t>Tool Sprayer System</t>
        </is>
      </c>
      <c r="E501" s="24" t="inlineStr">
        <is>
          <t>Sprayer Tool System - V2 (SPR TSM)</t>
        </is>
      </c>
      <c r="F501" t="inlineStr">
        <is>
          <t>1</t>
        </is>
      </c>
      <c r="G501" s="26" t="inlineStr">
        <is>
          <t>Not consumable</t>
        </is>
      </c>
      <c r="H501" s="24" t="inlineStr">
        <is>
          <t>Durable equipment / spare component</t>
        </is>
      </c>
      <c r="I501" t="inlineStr">
        <is>
          <t>Anand</t>
        </is>
      </c>
      <c r="J501" t="inlineStr">
        <is>
          <t>India</t>
        </is>
      </c>
      <c r="K501" t="inlineStr">
        <is>
          <t>No</t>
        </is>
      </c>
      <c r="M501" t="inlineStr">
        <is>
          <t>In stock</t>
        </is>
      </c>
    </row>
    <row r="502">
      <c r="A502" t="n">
        <v>501</v>
      </c>
      <c r="B502" t="n">
        <v>7</v>
      </c>
      <c r="C502" t="inlineStr">
        <is>
          <t>Tool Sprayer Station</t>
        </is>
      </c>
      <c r="E502" s="24" t="inlineStr">
        <is>
          <t>Sprayer Tool Station - V2 (SPR TST)</t>
        </is>
      </c>
      <c r="F502" t="inlineStr">
        <is>
          <t>1</t>
        </is>
      </c>
      <c r="G502" s="26" t="inlineStr">
        <is>
          <t>Not consumable</t>
        </is>
      </c>
      <c r="H502" s="24" t="inlineStr">
        <is>
          <t>Durable equipment / spare component</t>
        </is>
      </c>
      <c r="I502" t="inlineStr">
        <is>
          <t>Anand</t>
        </is>
      </c>
      <c r="J502" t="inlineStr">
        <is>
          <t>India</t>
        </is>
      </c>
      <c r="K502" t="inlineStr">
        <is>
          <t>No</t>
        </is>
      </c>
      <c r="M502" t="inlineStr">
        <is>
          <t>In stock</t>
        </is>
      </c>
    </row>
    <row r="503">
      <c r="A503" t="n">
        <v>502</v>
      </c>
      <c r="B503" t="n">
        <v>8</v>
      </c>
      <c r="C503" t="inlineStr">
        <is>
          <t>Accessories (OST &amp; HHM)</t>
        </is>
      </c>
      <c r="E503" s="24" t="inlineStr">
        <is>
          <t>OST - Operator Station Trolley (complete)</t>
        </is>
      </c>
      <c r="F503" t="inlineStr">
        <is>
          <t>1</t>
        </is>
      </c>
      <c r="G503" s="26" t="inlineStr">
        <is>
          <t>Not consumable</t>
        </is>
      </c>
      <c r="H503" s="24" t="inlineStr">
        <is>
          <t>Durable equipment / spare component</t>
        </is>
      </c>
      <c r="I503" t="inlineStr">
        <is>
          <t>Kaustubh</t>
        </is>
      </c>
      <c r="J503" t="inlineStr">
        <is>
          <t>India</t>
        </is>
      </c>
      <c r="K503" t="inlineStr">
        <is>
          <t>No</t>
        </is>
      </c>
      <c r="M503" t="inlineStr">
        <is>
          <t>IQC Stage</t>
        </is>
      </c>
      <c r="N503" t="inlineStr">
        <is>
          <t>Mobile (travels with robot)</t>
        </is>
      </c>
    </row>
    <row r="504">
      <c r="A504" t="n">
        <v>503</v>
      </c>
      <c r="B504" t="n">
        <v>8</v>
      </c>
      <c r="C504" t="inlineStr">
        <is>
          <t>Accessories (OST &amp; HHM)</t>
        </is>
      </c>
      <c r="E504" s="24" t="inlineStr">
        <is>
          <t>HHM - Hand-Held Module (complete)</t>
        </is>
      </c>
      <c r="F504" t="inlineStr">
        <is>
          <t>1</t>
        </is>
      </c>
      <c r="G504" s="26" t="inlineStr">
        <is>
          <t>Not consumable</t>
        </is>
      </c>
      <c r="H504" s="24" t="inlineStr">
        <is>
          <t>Durable equipment / spare component</t>
        </is>
      </c>
      <c r="I504" t="inlineStr">
        <is>
          <t>Kaustubh</t>
        </is>
      </c>
      <c r="J504" t="inlineStr">
        <is>
          <t>India</t>
        </is>
      </c>
      <c r="K504" t="inlineStr">
        <is>
          <t>No</t>
        </is>
      </c>
      <c r="M504" t="inlineStr">
        <is>
          <t>IQC Stage</t>
        </is>
      </c>
      <c r="N504" t="inlineStr">
        <is>
          <t>Mobile (travels with robot)</t>
        </is>
      </c>
    </row>
    <row r="505">
      <c r="A505" t="n">
        <v>504</v>
      </c>
      <c r="C505" t="inlineStr">
        <is>
          <t>NYC Site &amp; Facility</t>
        </is>
      </c>
      <c r="E505" s="24" t="inlineStr">
        <is>
          <t>Compound Plus 3 - 4.5 gallon bucket</t>
        </is>
      </c>
      <c r="F505" t="inlineStr">
        <is>
          <t>20.0</t>
        </is>
      </c>
      <c r="G505" s="25" t="inlineStr">
        <is>
          <t>Consumable</t>
        </is>
      </c>
      <c r="H505" s="24" t="inlineStr">
        <is>
          <t>Bulk joint-compound material used up on site</t>
        </is>
      </c>
      <c r="I505" t="inlineStr">
        <is>
          <t>Mohit</t>
        </is>
      </c>
      <c r="J505" t="inlineStr">
        <is>
          <t>Buy in US</t>
        </is>
      </c>
      <c r="K505" t="inlineStr">
        <is>
          <t>No</t>
        </is>
      </c>
    </row>
    <row r="506">
      <c r="A506" t="n">
        <v>505</v>
      </c>
      <c r="C506" t="inlineStr">
        <is>
          <t>NYC Site &amp; Facility</t>
        </is>
      </c>
      <c r="E506" s="24" t="inlineStr">
        <is>
          <t>No Pock Pro Warner Tools</t>
        </is>
      </c>
      <c r="F506" t="inlineStr">
        <is>
          <t>3.0</t>
        </is>
      </c>
      <c r="G506" s="25" t="inlineStr">
        <is>
          <t>Consumable</t>
        </is>
      </c>
      <c r="H506" s="24" t="inlineStr">
        <is>
          <t>Compound additive - used up on site</t>
        </is>
      </c>
      <c r="I506" t="inlineStr">
        <is>
          <t>Mohit</t>
        </is>
      </c>
      <c r="J506" t="inlineStr">
        <is>
          <t>Buy in US</t>
        </is>
      </c>
      <c r="K506" t="inlineStr">
        <is>
          <t>No</t>
        </is>
      </c>
    </row>
    <row r="507">
      <c r="A507" t="n">
        <v>506</v>
      </c>
      <c r="C507" t="inlineStr">
        <is>
          <t>NYC Site &amp; Facility</t>
        </is>
      </c>
      <c r="E507" s="24" t="inlineStr">
        <is>
          <t>Distilled Water</t>
        </is>
      </c>
      <c r="F507" t="inlineStr">
        <is>
          <t>3.0</t>
        </is>
      </c>
      <c r="G507" s="25" t="inlineStr">
        <is>
          <t>Consumable</t>
        </is>
      </c>
      <c r="H507" s="24" t="inlineStr">
        <is>
          <t>Fluid - used up on site</t>
        </is>
      </c>
      <c r="I507" t="inlineStr">
        <is>
          <t>Mohit</t>
        </is>
      </c>
      <c r="J507" t="inlineStr">
        <is>
          <t>Buy in US</t>
        </is>
      </c>
      <c r="K507" t="inlineStr">
        <is>
          <t>No</t>
        </is>
      </c>
    </row>
    <row r="508">
      <c r="A508" t="n">
        <v>507</v>
      </c>
      <c r="C508" t="inlineStr">
        <is>
          <t>NYC Site &amp; Facility</t>
        </is>
      </c>
      <c r="E508" s="24" t="inlineStr">
        <is>
          <t>1litre measuring beaker</t>
        </is>
      </c>
      <c r="F508" t="inlineStr">
        <is>
          <t>3.0</t>
        </is>
      </c>
      <c r="G508" s="26" t="inlineStr">
        <is>
          <t>Not consumable</t>
        </is>
      </c>
      <c r="H508" s="24" t="inlineStr">
        <is>
          <t>Reusable lab/measuring vessel</t>
        </is>
      </c>
      <c r="I508" t="inlineStr">
        <is>
          <t>Mohit</t>
        </is>
      </c>
      <c r="J508" t="inlineStr">
        <is>
          <t>Buy in US</t>
        </is>
      </c>
      <c r="K508" t="inlineStr">
        <is>
          <t>No</t>
        </is>
      </c>
    </row>
  </sheetData>
  <autoFilter ref="A1:N5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4" customWidth="1" style="22" min="1" max="1"/>
    <col width="34" customWidth="1" style="22" min="2" max="2"/>
    <col width="14" customWidth="1" style="22" min="3" max="3"/>
    <col width="12" customWidth="1" style="22" min="4" max="4"/>
    <col width="16" customWidth="1" style="22" min="5" max="5"/>
    <col width="10" customWidth="1" style="22" min="6" max="6"/>
  </cols>
  <sheetData>
    <row r="1">
      <c r="A1" s="28" t="inlineStr">
        <is>
          <t>Consumables classification - Packaging list V2 shipment</t>
        </is>
      </c>
    </row>
    <row r="2" ht="44" customHeight="1" s="22">
      <c r="A2" s="24" t="inlineStr">
        <is>
          <t>507 line items. "Consumable" = used up or destroyed in normal use and reordered on a cycle. "Borderline" = bulk stock or field-termination parts; classify to your own accounting rule. Basis for every line is on the Consumables Classification sheet. Procurement columns (Owner, Procure from, PR raised, PR number, Procurement status) are carried across unchanged from Sheet1 columns D, F, H, J and K.</t>
        </is>
      </c>
    </row>
    <row r="4">
      <c r="A4" s="29" t="inlineStr">
        <is>
          <t>Overall</t>
        </is>
      </c>
    </row>
    <row r="5">
      <c r="A5" s="23" t="inlineStr">
        <is>
          <t>Classification</t>
        </is>
      </c>
      <c r="B5" s="23" t="inlineStr">
        <is>
          <t>Line items</t>
        </is>
      </c>
    </row>
    <row r="6">
      <c r="A6" s="25" t="inlineStr">
        <is>
          <t>Consumable</t>
        </is>
      </c>
      <c r="B6">
        <f>COUNTIF('Consumables Classification'!$G$2:$G$508,A6)</f>
        <v/>
      </c>
    </row>
    <row r="7">
      <c r="A7" s="27" t="inlineStr">
        <is>
          <t>Borderline</t>
        </is>
      </c>
      <c r="B7">
        <f>COUNTIF('Consumables Classification'!$G$2:$G$508,A7)</f>
        <v/>
      </c>
    </row>
    <row r="8">
      <c r="A8" s="26" t="inlineStr">
        <is>
          <t>Not consumable</t>
        </is>
      </c>
      <c r="B8">
        <f>COUNTIF('Consumables Classification'!$G$2:$G$508,A8)</f>
        <v/>
      </c>
    </row>
    <row r="9">
      <c r="A9" s="30" t="inlineStr">
        <is>
          <t>Total</t>
        </is>
      </c>
      <c r="B9" s="30">
        <f>SUM(B6:B8)</f>
        <v/>
      </c>
    </row>
    <row r="11">
      <c r="A11" s="29" t="inlineStr">
        <is>
          <t>Consumables by procurement status</t>
        </is>
      </c>
    </row>
    <row r="12">
      <c r="A12" s="23" t="inlineStr">
        <is>
          <t>Procurement status</t>
        </is>
      </c>
      <c r="B12" s="23" t="inlineStr">
        <is>
          <t>Consumable</t>
        </is>
      </c>
      <c r="C12" s="23" t="inlineStr">
        <is>
          <t>Borderline</t>
        </is>
      </c>
      <c r="D12" s="23" t="inlineStr">
        <is>
          <t>Not consumable</t>
        </is>
      </c>
      <c r="E12" s="23" t="inlineStr">
        <is>
          <t>Total</t>
        </is>
      </c>
    </row>
    <row r="13">
      <c r="A13" t="inlineStr">
        <is>
          <t>(blank)</t>
        </is>
      </c>
      <c r="B13">
        <f>COUNTIFS('Consumables Classification'!$M$2:$M$508,"",'Consumables Classification'!$G$2:$G$508,B$12)</f>
        <v/>
      </c>
      <c r="C13">
        <f>COUNTIFS('Consumables Classification'!$M$2:$M$508,"",'Consumables Classification'!$G$2:$G$508,C$12)</f>
        <v/>
      </c>
      <c r="D13">
        <f>COUNTIFS('Consumables Classification'!$M$2:$M$508,"",'Consumables Classification'!$G$2:$G$508,D$12)</f>
        <v/>
      </c>
      <c r="E13">
        <f>SUM(B13:D13)</f>
        <v/>
      </c>
    </row>
    <row r="14">
      <c r="A14" t="inlineStr">
        <is>
          <t>Hold</t>
        </is>
      </c>
      <c r="B14">
        <f>COUNTIFS('Consumables Classification'!$M$2:$M$508,$A14,'Consumables Classification'!$G$2:$G$508,B$12)</f>
        <v/>
      </c>
      <c r="C14">
        <f>COUNTIFS('Consumables Classification'!$M$2:$M$508,$A14,'Consumables Classification'!$G$2:$G$508,C$12)</f>
        <v/>
      </c>
      <c r="D14">
        <f>COUNTIFS('Consumables Classification'!$M$2:$M$508,$A14,'Consumables Classification'!$G$2:$G$508,D$12)</f>
        <v/>
      </c>
      <c r="E14">
        <f>SUM(B14:D14)</f>
        <v/>
      </c>
    </row>
    <row r="15">
      <c r="A15" t="inlineStr">
        <is>
          <t>IQC Stage</t>
        </is>
      </c>
      <c r="B15">
        <f>COUNTIFS('Consumables Classification'!$M$2:$M$508,$A15,'Consumables Classification'!$G$2:$G$508,B$12)</f>
        <v/>
      </c>
      <c r="C15">
        <f>COUNTIFS('Consumables Classification'!$M$2:$M$508,$A15,'Consumables Classification'!$G$2:$G$508,C$12)</f>
        <v/>
      </c>
      <c r="D15">
        <f>COUNTIFS('Consumables Classification'!$M$2:$M$508,$A15,'Consumables Classification'!$G$2:$G$508,D$12)</f>
        <v/>
      </c>
      <c r="E15">
        <f>SUM(B15:D15)</f>
        <v/>
      </c>
    </row>
    <row r="16">
      <c r="A16" t="inlineStr">
        <is>
          <t>In stock</t>
        </is>
      </c>
      <c r="B16">
        <f>COUNTIFS('Consumables Classification'!$M$2:$M$508,$A16,'Consumables Classification'!$G$2:$G$508,B$12)</f>
        <v/>
      </c>
      <c r="C16">
        <f>COUNTIFS('Consumables Classification'!$M$2:$M$508,$A16,'Consumables Classification'!$G$2:$G$508,C$12)</f>
        <v/>
      </c>
      <c r="D16">
        <f>COUNTIFS('Consumables Classification'!$M$2:$M$508,$A16,'Consumables Classification'!$G$2:$G$508,D$12)</f>
        <v/>
      </c>
      <c r="E16">
        <f>SUM(B16:D16)</f>
        <v/>
      </c>
    </row>
    <row r="17">
      <c r="A17" t="inlineStr">
        <is>
          <t>PR Raised</t>
        </is>
      </c>
      <c r="B17">
        <f>COUNTIFS('Consumables Classification'!$M$2:$M$508,$A17,'Consumables Classification'!$G$2:$G$508,B$12)</f>
        <v/>
      </c>
      <c r="C17">
        <f>COUNTIFS('Consumables Classification'!$M$2:$M$508,$A17,'Consumables Classification'!$G$2:$G$508,C$12)</f>
        <v/>
      </c>
      <c r="D17">
        <f>COUNTIFS('Consumables Classification'!$M$2:$M$508,$A17,'Consumables Classification'!$G$2:$G$508,D$12)</f>
        <v/>
      </c>
      <c r="E17">
        <f>SUM(B17:D17)</f>
        <v/>
      </c>
    </row>
    <row r="18">
      <c r="A18" t="inlineStr">
        <is>
          <t>Payment Done</t>
        </is>
      </c>
      <c r="B18">
        <f>COUNTIFS('Consumables Classification'!$M$2:$M$508,$A18,'Consumables Classification'!$G$2:$G$508,B$12)</f>
        <v/>
      </c>
      <c r="C18">
        <f>COUNTIFS('Consumables Classification'!$M$2:$M$508,$A18,'Consumables Classification'!$G$2:$G$508,C$12)</f>
        <v/>
      </c>
      <c r="D18">
        <f>COUNTIFS('Consumables Classification'!$M$2:$M$508,$A18,'Consumables Classification'!$G$2:$G$508,D$12)</f>
        <v/>
      </c>
      <c r="E18">
        <f>SUM(B18:D18)</f>
        <v/>
      </c>
    </row>
    <row r="19">
      <c r="A19" t="inlineStr">
        <is>
          <t>To be Prepared</t>
        </is>
      </c>
      <c r="B19">
        <f>COUNTIFS('Consumables Classification'!$M$2:$M$508,$A19,'Consumables Classification'!$G$2:$G$508,B$12)</f>
        <v/>
      </c>
      <c r="C19">
        <f>COUNTIFS('Consumables Classification'!$M$2:$M$508,$A19,'Consumables Classification'!$G$2:$G$508,C$12)</f>
        <v/>
      </c>
      <c r="D19">
        <f>COUNTIFS('Consumables Classification'!$M$2:$M$508,$A19,'Consumables Classification'!$G$2:$G$508,D$12)</f>
        <v/>
      </c>
      <c r="E19">
        <f>SUM(B19:D19)</f>
        <v/>
      </c>
    </row>
    <row r="20">
      <c r="A20" t="inlineStr">
        <is>
          <t>To be Printed</t>
        </is>
      </c>
      <c r="B20">
        <f>COUNTIFS('Consumables Classification'!$M$2:$M$508,$A20,'Consumables Classification'!$G$2:$G$508,B$12)</f>
        <v/>
      </c>
      <c r="C20">
        <f>COUNTIFS('Consumables Classification'!$M$2:$M$508,$A20,'Consumables Classification'!$G$2:$G$508,C$12)</f>
        <v/>
      </c>
      <c r="D20">
        <f>COUNTIFS('Consumables Classification'!$M$2:$M$508,$A20,'Consumables Classification'!$G$2:$G$508,D$12)</f>
        <v/>
      </c>
      <c r="E20">
        <f>SUM(B20:D20)</f>
        <v/>
      </c>
    </row>
    <row r="21">
      <c r="A21" t="inlineStr">
        <is>
          <t>To be purchased</t>
        </is>
      </c>
      <c r="B21">
        <f>COUNTIFS('Consumables Classification'!$M$2:$M$508,$A21,'Consumables Classification'!$G$2:$G$508,B$12)</f>
        <v/>
      </c>
      <c r="C21">
        <f>COUNTIFS('Consumables Classification'!$M$2:$M$508,$A21,'Consumables Classification'!$G$2:$G$508,C$12)</f>
        <v/>
      </c>
      <c r="D21">
        <f>COUNTIFS('Consumables Classification'!$M$2:$M$508,$A21,'Consumables Classification'!$G$2:$G$508,D$12)</f>
        <v/>
      </c>
      <c r="E21">
        <f>SUM(B21:D21)</f>
        <v/>
      </c>
    </row>
    <row r="22">
      <c r="A22" s="30" t="inlineStr">
        <is>
          <t>Total</t>
        </is>
      </c>
      <c r="B22" s="30">
        <f>SUM(B13:B21)</f>
        <v/>
      </c>
      <c r="C22" s="30">
        <f>SUM(C13:C21)</f>
        <v/>
      </c>
      <c r="D22" s="30">
        <f>SUM(D13:D21)</f>
        <v/>
      </c>
      <c r="E22" s="30">
        <f>SUM(E13:E21)</f>
        <v/>
      </c>
    </row>
    <row r="24">
      <c r="A24" s="29" t="inlineStr">
        <is>
          <t>Consumables by procurement source</t>
        </is>
      </c>
    </row>
    <row r="25">
      <c r="A25" s="23" t="inlineStr">
        <is>
          <t>Procure from</t>
        </is>
      </c>
      <c r="B25" s="23" t="inlineStr">
        <is>
          <t>Consumable</t>
        </is>
      </c>
      <c r="C25" s="23" t="inlineStr">
        <is>
          <t>Borderline</t>
        </is>
      </c>
      <c r="D25" s="23" t="inlineStr">
        <is>
          <t>Not consumable</t>
        </is>
      </c>
      <c r="E25" s="23" t="inlineStr">
        <is>
          <t>Total</t>
        </is>
      </c>
    </row>
    <row r="26">
      <c r="A26" t="inlineStr">
        <is>
          <t>India</t>
        </is>
      </c>
      <c r="B26">
        <f>COUNTIFS('Consumables Classification'!$J$2:$J$508,$A26,'Consumables Classification'!$G$2:$G$508,B$25)</f>
        <v/>
      </c>
      <c r="C26">
        <f>COUNTIFS('Consumables Classification'!$J$2:$J$508,$A26,'Consumables Classification'!$G$2:$G$508,C$25)</f>
        <v/>
      </c>
      <c r="D26">
        <f>COUNTIFS('Consumables Classification'!$J$2:$J$508,$A26,'Consumables Classification'!$G$2:$G$508,D$25)</f>
        <v/>
      </c>
      <c r="E26">
        <f>SUM(B26:D26)</f>
        <v/>
      </c>
    </row>
    <row r="27">
      <c r="A27" t="inlineStr">
        <is>
          <t>Buy in US</t>
        </is>
      </c>
      <c r="B27">
        <f>COUNTIFS('Consumables Classification'!$J$2:$J$508,$A27,'Consumables Classification'!$G$2:$G$508,B$25)</f>
        <v/>
      </c>
      <c r="C27">
        <f>COUNTIFS('Consumables Classification'!$J$2:$J$508,$A27,'Consumables Classification'!$G$2:$G$508,C$25)</f>
        <v/>
      </c>
      <c r="D27">
        <f>COUNTIFS('Consumables Classification'!$J$2:$J$508,$A27,'Consumables Classification'!$G$2:$G$508,D$25)</f>
        <v/>
      </c>
      <c r="E27">
        <f>SUM(B27:D27)</f>
        <v/>
      </c>
    </row>
    <row r="30">
      <c r="A30" s="29" t="inlineStr">
        <is>
          <t>By box</t>
        </is>
      </c>
    </row>
    <row r="31">
      <c r="A31" s="23" t="inlineStr">
        <is>
          <t>Box</t>
        </is>
      </c>
      <c r="B31" s="23" t="inlineStr">
        <is>
          <t>Box category</t>
        </is>
      </c>
      <c r="C31" s="23" t="inlineStr">
        <is>
          <t>Consumable</t>
        </is>
      </c>
      <c r="D31" s="23" t="inlineStr">
        <is>
          <t>Borderline</t>
        </is>
      </c>
      <c r="E31" s="23" t="inlineStr">
        <is>
          <t>Not consumable</t>
        </is>
      </c>
      <c r="F31" s="23" t="inlineStr">
        <is>
          <t>Total</t>
        </is>
      </c>
    </row>
    <row r="32">
      <c r="A32" t="n">
        <v>1</v>
      </c>
      <c r="B32" t="inlineStr">
        <is>
          <t>MoMa</t>
        </is>
      </c>
      <c r="C32">
        <f>COUNTIFS('Consumables Classification'!$B$2:$B$508,1,'Consumables Classification'!$C$2:$C$508,$B32,'Consumables Classification'!$G$2:$G$508,C$31)</f>
        <v/>
      </c>
      <c r="D32">
        <f>COUNTIFS('Consumables Classification'!$B$2:$B$508,1,'Consumables Classification'!$C$2:$C$508,$B32,'Consumables Classification'!$G$2:$G$508,D$31)</f>
        <v/>
      </c>
      <c r="E32">
        <f>COUNTIFS('Consumables Classification'!$B$2:$B$508,1,'Consumables Classification'!$C$2:$C$508,$B32,'Consumables Classification'!$G$2:$G$508,E$31)</f>
        <v/>
      </c>
      <c r="F32">
        <f>SUM(C32:E32)</f>
        <v/>
      </c>
    </row>
    <row r="33">
      <c r="A33" t="n">
        <v>2</v>
      </c>
      <c r="B33" t="inlineStr">
        <is>
          <t>Bringup Kit</t>
        </is>
      </c>
      <c r="C33">
        <f>COUNTIFS('Consumables Classification'!$B$2:$B$508,2,'Consumables Classification'!$C$2:$C$508,$B33,'Consumables Classification'!$G$2:$G$508,C$31)</f>
        <v/>
      </c>
      <c r="D33">
        <f>COUNTIFS('Consumables Classification'!$B$2:$B$508,2,'Consumables Classification'!$C$2:$C$508,$B33,'Consumables Classification'!$G$2:$G$508,D$31)</f>
        <v/>
      </c>
      <c r="E33">
        <f>COUNTIFS('Consumables Classification'!$B$2:$B$508,2,'Consumables Classification'!$C$2:$C$508,$B33,'Consumables Classification'!$G$2:$G$508,E$31)</f>
        <v/>
      </c>
      <c r="F33">
        <f>SUM(C33:E33)</f>
        <v/>
      </c>
    </row>
    <row r="34">
      <c r="A34" t="n">
        <v>3</v>
      </c>
      <c r="B34" t="inlineStr">
        <is>
          <t>UR Arm</t>
        </is>
      </c>
      <c r="C34">
        <f>COUNTIFS('Consumables Classification'!$B$2:$B$508,3,'Consumables Classification'!$C$2:$C$508,$B34,'Consumables Classification'!$G$2:$G$508,C$31)</f>
        <v/>
      </c>
      <c r="D34">
        <f>COUNTIFS('Consumables Classification'!$B$2:$B$508,3,'Consumables Classification'!$C$2:$C$508,$B34,'Consumables Classification'!$G$2:$G$508,D$31)</f>
        <v/>
      </c>
      <c r="E34">
        <f>COUNTIFS('Consumables Classification'!$B$2:$B$508,3,'Consumables Classification'!$C$2:$C$508,$B34,'Consumables Classification'!$G$2:$G$508,E$31)</f>
        <v/>
      </c>
      <c r="F34">
        <f>SUM(C34:E34)</f>
        <v/>
      </c>
    </row>
    <row r="35">
      <c r="A35" t="n">
        <v>6</v>
      </c>
      <c r="B35" t="inlineStr">
        <is>
          <t>Tool Sprayer System</t>
        </is>
      </c>
      <c r="C35">
        <f>COUNTIFS('Consumables Classification'!$B$2:$B$508,6,'Consumables Classification'!$C$2:$C$508,$B35,'Consumables Classification'!$G$2:$G$508,C$31)</f>
        <v/>
      </c>
      <c r="D35">
        <f>COUNTIFS('Consumables Classification'!$B$2:$B$508,6,'Consumables Classification'!$C$2:$C$508,$B35,'Consumables Classification'!$G$2:$G$508,D$31)</f>
        <v/>
      </c>
      <c r="E35">
        <f>COUNTIFS('Consumables Classification'!$B$2:$B$508,6,'Consumables Classification'!$C$2:$C$508,$B35,'Consumables Classification'!$G$2:$G$508,E$31)</f>
        <v/>
      </c>
      <c r="F35">
        <f>SUM(C35:E35)</f>
        <v/>
      </c>
    </row>
    <row r="36">
      <c r="A36" t="n">
        <v>7</v>
      </c>
      <c r="B36" t="inlineStr">
        <is>
          <t>Tool Sprayer Station</t>
        </is>
      </c>
      <c r="C36">
        <f>COUNTIFS('Consumables Classification'!$B$2:$B$508,7,'Consumables Classification'!$C$2:$C$508,$B36,'Consumables Classification'!$G$2:$G$508,C$31)</f>
        <v/>
      </c>
      <c r="D36">
        <f>COUNTIFS('Consumables Classification'!$B$2:$B$508,7,'Consumables Classification'!$C$2:$C$508,$B36,'Consumables Classification'!$G$2:$G$508,D$31)</f>
        <v/>
      </c>
      <c r="E36">
        <f>COUNTIFS('Consumables Classification'!$B$2:$B$508,7,'Consumables Classification'!$C$2:$C$508,$B36,'Consumables Classification'!$G$2:$G$508,E$31)</f>
        <v/>
      </c>
      <c r="F36">
        <f>SUM(C36:E36)</f>
        <v/>
      </c>
    </row>
    <row r="37">
      <c r="A37" t="n">
        <v>8</v>
      </c>
      <c r="B37" t="inlineStr">
        <is>
          <t>Accessories (OST &amp; HHM)</t>
        </is>
      </c>
      <c r="C37">
        <f>COUNTIFS('Consumables Classification'!$B$2:$B$508,8,'Consumables Classification'!$C$2:$C$508,$B37,'Consumables Classification'!$G$2:$G$508,C$31)</f>
        <v/>
      </c>
      <c r="D37">
        <f>COUNTIFS('Consumables Classification'!$B$2:$B$508,8,'Consumables Classification'!$C$2:$C$508,$B37,'Consumables Classification'!$G$2:$G$508,D$31)</f>
        <v/>
      </c>
      <c r="E37">
        <f>COUNTIFS('Consumables Classification'!$B$2:$B$508,8,'Consumables Classification'!$C$2:$C$508,$B37,'Consumables Classification'!$G$2:$G$508,E$31)</f>
        <v/>
      </c>
      <c r="F37">
        <f>SUM(C37:E37)</f>
        <v/>
      </c>
    </row>
    <row r="38">
      <c r="A38" t="n">
        <v>9</v>
      </c>
      <c r="B38" t="inlineStr">
        <is>
          <t>Compute &amp; Network</t>
        </is>
      </c>
      <c r="C38">
        <f>COUNTIFS('Consumables Classification'!$B$2:$B$508,9,'Consumables Classification'!$C$2:$C$508,$B38,'Consumables Classification'!$G$2:$G$508,C$31)</f>
        <v/>
      </c>
      <c r="D38">
        <f>COUNTIFS('Consumables Classification'!$B$2:$B$508,9,'Consumables Classification'!$C$2:$C$508,$B38,'Consumables Classification'!$G$2:$G$508,D$31)</f>
        <v/>
      </c>
      <c r="E38">
        <f>COUNTIFS('Consumables Classification'!$B$2:$B$508,9,'Consumables Classification'!$C$2:$C$508,$B38,'Consumables Classification'!$G$2:$G$508,E$31)</f>
        <v/>
      </c>
      <c r="F38">
        <f>SUM(C38:E38)</f>
        <v/>
      </c>
    </row>
    <row r="39">
      <c r="A39" t="n">
        <v>9</v>
      </c>
      <c r="B39" t="inlineStr">
        <is>
          <t>Mechanical parts</t>
        </is>
      </c>
      <c r="C39">
        <f>COUNTIFS('Consumables Classification'!$B$2:$B$508,9,'Consumables Classification'!$C$2:$C$508,$B39,'Consumables Classification'!$G$2:$G$508,C$31)</f>
        <v/>
      </c>
      <c r="D39">
        <f>COUNTIFS('Consumables Classification'!$B$2:$B$508,9,'Consumables Classification'!$C$2:$C$508,$B39,'Consumables Classification'!$G$2:$G$508,D$31)</f>
        <v/>
      </c>
      <c r="E39">
        <f>COUNTIFS('Consumables Classification'!$B$2:$B$508,9,'Consumables Classification'!$C$2:$C$508,$B39,'Consumables Classification'!$G$2:$G$508,E$31)</f>
        <v/>
      </c>
      <c r="F39">
        <f>SUM(C39:E39)</f>
        <v/>
      </c>
    </row>
    <row r="40">
      <c r="A40" t="n">
        <v>10</v>
      </c>
      <c r="B40" t="inlineStr">
        <is>
          <t>Power &amp; Switching</t>
        </is>
      </c>
      <c r="C40">
        <f>COUNTIFS('Consumables Classification'!$B$2:$B$508,10,'Consumables Classification'!$C$2:$C$508,$B40,'Consumables Classification'!$G$2:$G$508,C$31)</f>
        <v/>
      </c>
      <c r="D40">
        <f>COUNTIFS('Consumables Classification'!$B$2:$B$508,10,'Consumables Classification'!$C$2:$C$508,$B40,'Consumables Classification'!$G$2:$G$508,D$31)</f>
        <v/>
      </c>
      <c r="E40">
        <f>COUNTIFS('Consumables Classification'!$B$2:$B$508,10,'Consumables Classification'!$C$2:$C$508,$B40,'Consumables Classification'!$G$2:$G$508,E$31)</f>
        <v/>
      </c>
      <c r="F40">
        <f>SUM(C40:E40)</f>
        <v/>
      </c>
    </row>
    <row r="41">
      <c r="A41" t="n">
        <v>11</v>
      </c>
      <c r="B41" t="inlineStr">
        <is>
          <t>Sensors</t>
        </is>
      </c>
      <c r="C41">
        <f>COUNTIFS('Consumables Classification'!$B$2:$B$508,11,'Consumables Classification'!$C$2:$C$508,$B41,'Consumables Classification'!$G$2:$G$508,C$31)</f>
        <v/>
      </c>
      <c r="D41">
        <f>COUNTIFS('Consumables Classification'!$B$2:$B$508,11,'Consumables Classification'!$C$2:$C$508,$B41,'Consumables Classification'!$G$2:$G$508,D$31)</f>
        <v/>
      </c>
      <c r="E41">
        <f>COUNTIFS('Consumables Classification'!$B$2:$B$508,11,'Consumables Classification'!$C$2:$C$508,$B41,'Consumables Classification'!$G$2:$G$508,E$31)</f>
        <v/>
      </c>
      <c r="F41">
        <f>SUM(C41:E41)</f>
        <v/>
      </c>
    </row>
    <row r="42">
      <c r="A42" t="n">
        <v>12</v>
      </c>
      <c r="B42" t="inlineStr">
        <is>
          <t>Actuators</t>
        </is>
      </c>
      <c r="C42">
        <f>COUNTIFS('Consumables Classification'!$B$2:$B$508,12,'Consumables Classification'!$C$2:$C$508,$B42,'Consumables Classification'!$G$2:$G$508,C$31)</f>
        <v/>
      </c>
      <c r="D42">
        <f>COUNTIFS('Consumables Classification'!$B$2:$B$508,12,'Consumables Classification'!$C$2:$C$508,$B42,'Consumables Classification'!$G$2:$G$508,D$31)</f>
        <v/>
      </c>
      <c r="E42">
        <f>COUNTIFS('Consumables Classification'!$B$2:$B$508,12,'Consumables Classification'!$C$2:$C$508,$B42,'Consumables Classification'!$G$2:$G$508,E$31)</f>
        <v/>
      </c>
      <c r="F42">
        <f>SUM(C42:E42)</f>
        <v/>
      </c>
    </row>
    <row r="43">
      <c r="A43" t="n">
        <v>13</v>
      </c>
      <c r="B43" t="inlineStr">
        <is>
          <t>Diagnostic &amp; repair tools</t>
        </is>
      </c>
      <c r="C43">
        <f>COUNTIFS('Consumables Classification'!$B$2:$B$508,13,'Consumables Classification'!$C$2:$C$508,$B43,'Consumables Classification'!$G$2:$G$508,C$31)</f>
        <v/>
      </c>
      <c r="D43">
        <f>COUNTIFS('Consumables Classification'!$B$2:$B$508,13,'Consumables Classification'!$C$2:$C$508,$B43,'Consumables Classification'!$G$2:$G$508,D$31)</f>
        <v/>
      </c>
      <c r="E43">
        <f>COUNTIFS('Consumables Classification'!$B$2:$B$508,13,'Consumables Classification'!$C$2:$C$508,$B43,'Consumables Classification'!$G$2:$G$508,E$31)</f>
        <v/>
      </c>
      <c r="F43">
        <f>SUM(C43:E43)</f>
        <v/>
      </c>
    </row>
    <row r="44">
      <c r="A44" t="n">
        <v>13</v>
      </c>
      <c r="B44" t="inlineStr">
        <is>
          <t>Wire, connector, cables &amp; crimps</t>
        </is>
      </c>
      <c r="C44">
        <f>COUNTIFS('Consumables Classification'!$B$2:$B$508,13,'Consumables Classification'!$C$2:$C$508,$B44,'Consumables Classification'!$G$2:$G$508,C$31)</f>
        <v/>
      </c>
      <c r="D44">
        <f>COUNTIFS('Consumables Classification'!$B$2:$B$508,13,'Consumables Classification'!$C$2:$C$508,$B44,'Consumables Classification'!$G$2:$G$508,D$31)</f>
        <v/>
      </c>
      <c r="E44">
        <f>COUNTIFS('Consumables Classification'!$B$2:$B$508,13,'Consumables Classification'!$C$2:$C$508,$B44,'Consumables Classification'!$G$2:$G$508,E$31)</f>
        <v/>
      </c>
      <c r="F44">
        <f>SUM(C44:E44)</f>
        <v/>
      </c>
    </row>
    <row r="45">
      <c r="A45" t="n">
        <v>14</v>
      </c>
      <c r="B45" t="inlineStr">
        <is>
          <t>Custom PCB</t>
        </is>
      </c>
      <c r="C45">
        <f>COUNTIFS('Consumables Classification'!$B$2:$B$508,14,'Consumables Classification'!$C$2:$C$508,$B45,'Consumables Classification'!$G$2:$G$508,C$31)</f>
        <v/>
      </c>
      <c r="D45">
        <f>COUNTIFS('Consumables Classification'!$B$2:$B$508,14,'Consumables Classification'!$C$2:$C$508,$B45,'Consumables Classification'!$G$2:$G$508,D$31)</f>
        <v/>
      </c>
      <c r="E45">
        <f>COUNTIFS('Consumables Classification'!$B$2:$B$508,14,'Consumables Classification'!$C$2:$C$508,$B45,'Consumables Classification'!$G$2:$G$508,E$31)</f>
        <v/>
      </c>
      <c r="F45">
        <f>SUM(C45:E45)</f>
        <v/>
      </c>
    </row>
    <row r="46">
      <c r="A46" t="n">
        <v>15</v>
      </c>
      <c r="B46" t="inlineStr">
        <is>
          <t>Mechanical EOA</t>
        </is>
      </c>
      <c r="C46">
        <f>COUNTIFS('Consumables Classification'!$B$2:$B$508,15,'Consumables Classification'!$C$2:$C$508,$B46,'Consumables Classification'!$G$2:$G$508,C$31)</f>
        <v/>
      </c>
      <c r="D46">
        <f>COUNTIFS('Consumables Classification'!$B$2:$B$508,15,'Consumables Classification'!$C$2:$C$508,$B46,'Consumables Classification'!$G$2:$G$508,D$31)</f>
        <v/>
      </c>
      <c r="E46">
        <f>COUNTIFS('Consumables Classification'!$B$2:$B$508,15,'Consumables Classification'!$C$2:$C$508,$B46,'Consumables Classification'!$G$2:$G$508,E$31)</f>
        <v/>
      </c>
      <c r="F46">
        <f>SUM(C46:E46)</f>
        <v/>
      </c>
    </row>
    <row r="47">
      <c r="A47" t="n">
        <v>16</v>
      </c>
      <c r="B47" t="inlineStr">
        <is>
          <t>Mechanical parts</t>
        </is>
      </c>
      <c r="C47">
        <f>COUNTIFS('Consumables Classification'!$B$2:$B$508,16,'Consumables Classification'!$C$2:$C$508,$B47,'Consumables Classification'!$G$2:$G$508,C$31)</f>
        <v/>
      </c>
      <c r="D47">
        <f>COUNTIFS('Consumables Classification'!$B$2:$B$508,16,'Consumables Classification'!$C$2:$C$508,$B47,'Consumables Classification'!$G$2:$G$508,D$31)</f>
        <v/>
      </c>
      <c r="E47">
        <f>COUNTIFS('Consumables Classification'!$B$2:$B$508,16,'Consumables Classification'!$C$2:$C$508,$B47,'Consumables Classification'!$G$2:$G$508,E$31)</f>
        <v/>
      </c>
      <c r="F47">
        <f>SUM(C47:E47)</f>
        <v/>
      </c>
    </row>
    <row r="48">
      <c r="A48" t="n">
        <v>17</v>
      </c>
      <c r="B48" t="inlineStr">
        <is>
          <t>Bringup Kit</t>
        </is>
      </c>
      <c r="C48">
        <f>COUNTIFS('Consumables Classification'!$B$2:$B$508,17,'Consumables Classification'!$C$2:$C$508,$B48,'Consumables Classification'!$G$2:$G$508,C$31)</f>
        <v/>
      </c>
      <c r="D48">
        <f>COUNTIFS('Consumables Classification'!$B$2:$B$508,17,'Consumables Classification'!$C$2:$C$508,$B48,'Consumables Classification'!$G$2:$G$508,D$31)</f>
        <v/>
      </c>
      <c r="E48">
        <f>COUNTIFS('Consumables Classification'!$B$2:$B$508,17,'Consumables Classification'!$C$2:$C$508,$B48,'Consumables Classification'!$G$2:$G$508,E$31)</f>
        <v/>
      </c>
      <c r="F48">
        <f>SUM(C48:E48)</f>
        <v/>
      </c>
    </row>
    <row r="49">
      <c r="A49" t="n">
        <v>17</v>
      </c>
      <c r="B49" t="inlineStr">
        <is>
          <t>Diagnostic &amp; repair tools</t>
        </is>
      </c>
      <c r="C49">
        <f>COUNTIFS('Consumables Classification'!$B$2:$B$508,17,'Consumables Classification'!$C$2:$C$508,$B49,'Consumables Classification'!$G$2:$G$508,C$31)</f>
        <v/>
      </c>
      <c r="D49">
        <f>COUNTIFS('Consumables Classification'!$B$2:$B$508,17,'Consumables Classification'!$C$2:$C$508,$B49,'Consumables Classification'!$G$2:$G$508,D$31)</f>
        <v/>
      </c>
      <c r="E49">
        <f>COUNTIFS('Consumables Classification'!$B$2:$B$508,17,'Consumables Classification'!$C$2:$C$508,$B49,'Consumables Classification'!$G$2:$G$508,E$31)</f>
        <v/>
      </c>
      <c r="F49">
        <f>SUM(C49:E49)</f>
        <v/>
      </c>
    </row>
    <row r="50">
      <c r="A50" t="n">
        <v>18</v>
      </c>
      <c r="B50" t="inlineStr">
        <is>
          <t>Consumables</t>
        </is>
      </c>
      <c r="C50">
        <f>COUNTIFS('Consumables Classification'!$B$2:$B$508,18,'Consumables Classification'!$C$2:$C$508,$B50,'Consumables Classification'!$G$2:$G$508,C$31)</f>
        <v/>
      </c>
      <c r="D50">
        <f>COUNTIFS('Consumables Classification'!$B$2:$B$508,18,'Consumables Classification'!$C$2:$C$508,$B50,'Consumables Classification'!$G$2:$G$508,D$31)</f>
        <v/>
      </c>
      <c r="E50">
        <f>COUNTIFS('Consumables Classification'!$B$2:$B$508,18,'Consumables Classification'!$C$2:$C$508,$B50,'Consumables Classification'!$G$2:$G$508,E$31)</f>
        <v/>
      </c>
      <c r="F50">
        <f>SUM(C50:E50)</f>
        <v/>
      </c>
    </row>
    <row r="51">
      <c r="A51" t="n">
        <v>19</v>
      </c>
      <c r="B51" t="inlineStr">
        <is>
          <t>Packaging</t>
        </is>
      </c>
      <c r="C51">
        <f>COUNTIFS('Consumables Classification'!$B$2:$B$508,19,'Consumables Classification'!$C$2:$C$508,$B51,'Consumables Classification'!$G$2:$G$508,C$31)</f>
        <v/>
      </c>
      <c r="D51">
        <f>COUNTIFS('Consumables Classification'!$B$2:$B$508,19,'Consumables Classification'!$C$2:$C$508,$B51,'Consumables Classification'!$G$2:$G$508,D$31)</f>
        <v/>
      </c>
      <c r="E51">
        <f>COUNTIFS('Consumables Classification'!$B$2:$B$508,19,'Consumables Classification'!$C$2:$C$508,$B51,'Consumables Classification'!$G$2:$G$508,E$31)</f>
        <v/>
      </c>
      <c r="F51">
        <f>SUM(C51:E51)</f>
        <v/>
      </c>
    </row>
    <row r="52">
      <c r="A52" t="inlineStr">
        <is>
          <t>(none)</t>
        </is>
      </c>
      <c r="B52" t="inlineStr">
        <is>
          <t>NYC Site &amp; Facility</t>
        </is>
      </c>
      <c r="C52">
        <f>COUNTIFS('Consumables Classification'!$B$2:$B$508,"",'Consumables Classification'!$C$2:$C$508,$B52,'Consumables Classification'!$G$2:$G$508,C$31)</f>
        <v/>
      </c>
      <c r="D52">
        <f>COUNTIFS('Consumables Classification'!$B$2:$B$508,"",'Consumables Classification'!$C$2:$C$508,$B52,'Consumables Classification'!$G$2:$G$508,D$31)</f>
        <v/>
      </c>
      <c r="E52">
        <f>COUNTIFS('Consumables Classification'!$B$2:$B$508,"",'Consumables Classification'!$C$2:$C$508,$B52,'Consumables Classification'!$G$2:$G$508,E$31)</f>
        <v/>
      </c>
      <c r="F52">
        <f>SUM(C52:E52)</f>
        <v/>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cols>
    <col width="13" customWidth="1" style="22" min="1" max="1"/>
    <col width="7" customWidth="1" style="22" min="2" max="2"/>
    <col width="56" customWidth="1" style="22" min="3" max="3"/>
    <col width="9" customWidth="1" style="22" min="4" max="4"/>
    <col width="15" customWidth="1" style="22" min="5" max="5"/>
    <col width="11" customWidth="1" style="22" min="6" max="6"/>
    <col width="13" customWidth="1" style="22" min="7" max="7"/>
    <col width="15" customWidth="1" style="22" min="8" max="8"/>
    <col width="18" customWidth="1" style="22" min="9" max="9"/>
  </cols>
  <sheetData>
    <row r="1">
      <c r="A1" s="28" t="inlineStr">
        <is>
          <t>Consumable + borderline items not yet in stock</t>
        </is>
      </c>
    </row>
    <row r="2">
      <c r="A2" s="31" t="inlineStr">
        <is>
          <t>Everything classified consumable or borderline whose procurement status is not "In stock". Sorted by status, then box.</t>
        </is>
      </c>
    </row>
    <row r="4">
      <c r="A4" s="23" t="inlineStr">
        <is>
          <t>Row in Sheet1</t>
        </is>
      </c>
      <c r="B4" s="23" t="inlineStr">
        <is>
          <t>Box</t>
        </is>
      </c>
      <c r="C4" s="23" t="inlineStr">
        <is>
          <t>Item</t>
        </is>
      </c>
      <c r="D4" s="23" t="inlineStr">
        <is>
          <t>Qty</t>
        </is>
      </c>
      <c r="E4" s="23" t="inlineStr">
        <is>
          <t>Classification</t>
        </is>
      </c>
      <c r="F4" s="23" t="inlineStr">
        <is>
          <t>Owner</t>
        </is>
      </c>
      <c r="G4" s="23" t="inlineStr">
        <is>
          <t>Procure from</t>
        </is>
      </c>
      <c r="H4" s="23" t="inlineStr">
        <is>
          <t>PR number</t>
        </is>
      </c>
      <c r="I4" s="23" t="inlineStr">
        <is>
          <t>Procurement status</t>
        </is>
      </c>
    </row>
    <row r="5">
      <c r="A5" t="n">
        <v>400</v>
      </c>
      <c r="B5" t="n">
        <v>17</v>
      </c>
      <c r="C5" s="24" t="inlineStr">
        <is>
          <t>PPE - Rubber Boots</t>
        </is>
      </c>
      <c r="D5" t="inlineStr">
        <is>
          <t>1</t>
        </is>
      </c>
      <c r="E5" s="27" t="inlineStr">
        <is>
          <t>Borderline</t>
        </is>
      </c>
      <c r="F5" t="inlineStr">
        <is>
          <t>Kaustubh</t>
        </is>
      </c>
      <c r="G5" t="inlineStr">
        <is>
          <t>India</t>
        </is>
      </c>
      <c r="I5" t="inlineStr">
        <is>
          <t>Hold</t>
        </is>
      </c>
    </row>
    <row r="6">
      <c r="A6" t="n">
        <v>434</v>
      </c>
      <c r="B6" t="n">
        <v>18</v>
      </c>
      <c r="C6" s="24" t="inlineStr">
        <is>
          <t>Filter - Sander Vacuum, 8999600411</t>
        </is>
      </c>
      <c r="D6" t="inlineStr">
        <is>
          <t>1</t>
        </is>
      </c>
      <c r="E6" s="25" t="inlineStr">
        <is>
          <t>Consumable</t>
        </is>
      </c>
      <c r="F6" t="inlineStr">
        <is>
          <t>SANKALP</t>
        </is>
      </c>
      <c r="G6" t="inlineStr">
        <is>
          <t>Buy in US</t>
        </is>
      </c>
      <c r="I6" t="inlineStr">
        <is>
          <t>Hold</t>
        </is>
      </c>
    </row>
    <row r="7">
      <c r="A7" t="n">
        <v>445</v>
      </c>
      <c r="B7" t="n">
        <v>19</v>
      </c>
      <c r="C7" s="24" t="inlineStr">
        <is>
          <t>Foam - EPE Sheet</t>
        </is>
      </c>
      <c r="D7" t="inlineStr">
        <is>
          <t>25</t>
        </is>
      </c>
      <c r="E7" s="25" t="inlineStr">
        <is>
          <t>Consumable</t>
        </is>
      </c>
      <c r="F7" t="inlineStr">
        <is>
          <t>Kaustubh</t>
        </is>
      </c>
      <c r="G7" t="inlineStr">
        <is>
          <t>India</t>
        </is>
      </c>
      <c r="I7" t="inlineStr">
        <is>
          <t>Hold</t>
        </is>
      </c>
    </row>
    <row r="8">
      <c r="A8" t="n">
        <v>446</v>
      </c>
      <c r="B8" t="n">
        <v>19</v>
      </c>
      <c r="C8" s="24" t="inlineStr">
        <is>
          <t>Bubble Wrap - Roll, 1 m wide</t>
        </is>
      </c>
      <c r="D8" t="inlineStr">
        <is>
          <t>1 roll</t>
        </is>
      </c>
      <c r="E8" s="25" t="inlineStr">
        <is>
          <t>Consumable</t>
        </is>
      </c>
      <c r="F8" t="inlineStr">
        <is>
          <t>Kaustubh</t>
        </is>
      </c>
      <c r="G8" t="inlineStr">
        <is>
          <t>India</t>
        </is>
      </c>
      <c r="I8" t="inlineStr">
        <is>
          <t>Hold</t>
        </is>
      </c>
    </row>
    <row r="9">
      <c r="A9" t="n">
        <v>447</v>
      </c>
      <c r="B9" t="n">
        <v>19</v>
      </c>
      <c r="C9" s="24" t="inlineStr">
        <is>
          <t>Stretch Film - Polyethylene Wrap, 500 mm</t>
        </is>
      </c>
      <c r="D9" t="inlineStr">
        <is>
          <t>3 rolls</t>
        </is>
      </c>
      <c r="E9" s="25" t="inlineStr">
        <is>
          <t>Consumable</t>
        </is>
      </c>
      <c r="F9" t="inlineStr">
        <is>
          <t>Kaustubh</t>
        </is>
      </c>
      <c r="G9" t="inlineStr">
        <is>
          <t>India</t>
        </is>
      </c>
      <c r="I9" t="inlineStr">
        <is>
          <t>Hold</t>
        </is>
      </c>
    </row>
    <row r="10">
      <c r="A10" t="n">
        <v>452</v>
      </c>
      <c r="B10" t="n">
        <v>19</v>
      </c>
      <c r="C10" s="24" t="inlineStr">
        <is>
          <t>Paint - Spray, Matt Black</t>
        </is>
      </c>
      <c r="D10" t="inlineStr">
        <is>
          <t>2</t>
        </is>
      </c>
      <c r="E10" s="25" t="inlineStr">
        <is>
          <t>Consumable</t>
        </is>
      </c>
      <c r="F10" t="inlineStr">
        <is>
          <t>Kaustubh</t>
        </is>
      </c>
      <c r="G10" t="inlineStr">
        <is>
          <t>Buy in US</t>
        </is>
      </c>
      <c r="I10" t="inlineStr">
        <is>
          <t>Hold</t>
        </is>
      </c>
    </row>
    <row r="11">
      <c r="A11" t="n">
        <v>453</v>
      </c>
      <c r="B11" t="n">
        <v>19</v>
      </c>
      <c r="C11" s="24" t="inlineStr">
        <is>
          <t>Paint - Spray, Red</t>
        </is>
      </c>
      <c r="D11" t="inlineStr">
        <is>
          <t>2</t>
        </is>
      </c>
      <c r="E11" s="25" t="inlineStr">
        <is>
          <t>Consumable</t>
        </is>
      </c>
      <c r="F11" t="inlineStr">
        <is>
          <t>Kaustubh</t>
        </is>
      </c>
      <c r="G11" t="inlineStr">
        <is>
          <t>Buy in US</t>
        </is>
      </c>
      <c r="I11" t="inlineStr">
        <is>
          <t>Hold</t>
        </is>
      </c>
    </row>
    <row r="12">
      <c r="A12" t="n">
        <v>203</v>
      </c>
      <c r="B12" t="n">
        <v>2</v>
      </c>
      <c r="C12" s="24" t="inlineStr">
        <is>
          <t>Battery - Li-SOCl2 AA, ER14505 - driver encoder (Spare)</t>
        </is>
      </c>
      <c r="D12" t="inlineStr">
        <is>
          <t>4.0</t>
        </is>
      </c>
      <c r="E12" s="25" t="inlineStr">
        <is>
          <t>Consumable</t>
        </is>
      </c>
      <c r="F12" t="inlineStr">
        <is>
          <t>Badri</t>
        </is>
      </c>
      <c r="G12" t="inlineStr">
        <is>
          <t>India</t>
        </is>
      </c>
      <c r="I12" t="inlineStr">
        <is>
          <t>IQC Stage</t>
        </is>
      </c>
    </row>
    <row r="13">
      <c r="A13" t="n">
        <v>463</v>
      </c>
      <c r="B13" t="n">
        <v>2</v>
      </c>
      <c r="C13" s="24" t="inlineStr">
        <is>
          <t>Bolt - Socket Cap (SHCS), M5 x 16 mm - EOA quick-lock fastener</t>
        </is>
      </c>
      <c r="D13" t="inlineStr">
        <is>
          <t>6</t>
        </is>
      </c>
      <c r="E13" s="25" t="inlineStr">
        <is>
          <t>Consumable</t>
        </is>
      </c>
      <c r="F13" t="inlineStr">
        <is>
          <t>Kaustubh</t>
        </is>
      </c>
      <c r="G13" t="inlineStr">
        <is>
          <t>India</t>
        </is>
      </c>
      <c r="I13" t="inlineStr">
        <is>
          <t>IQC Stage</t>
        </is>
      </c>
    </row>
    <row r="14">
      <c r="A14" t="n">
        <v>464</v>
      </c>
      <c r="B14" t="n">
        <v>2</v>
      </c>
      <c r="C14" s="24" t="inlineStr">
        <is>
          <t>Bolt - Socket Cap (SHCS), M8 x 50 mm - arm mounting</t>
        </is>
      </c>
      <c r="D14" t="inlineStr">
        <is>
          <t>4</t>
        </is>
      </c>
      <c r="E14" s="25" t="inlineStr">
        <is>
          <t>Consumable</t>
        </is>
      </c>
      <c r="F14" t="inlineStr">
        <is>
          <t>Kaustubh</t>
        </is>
      </c>
      <c r="G14" t="inlineStr">
        <is>
          <t>India</t>
        </is>
      </c>
      <c r="I14" t="inlineStr">
        <is>
          <t>IQC Stage</t>
        </is>
      </c>
    </row>
    <row r="15">
      <c r="A15" t="n">
        <v>465</v>
      </c>
      <c r="B15" t="n">
        <v>2</v>
      </c>
      <c r="C15" s="24" t="inlineStr">
        <is>
          <t>Bolt - Socket Cap (SHCS), M8 x 40 mm - arm mounting</t>
        </is>
      </c>
      <c r="D15" t="inlineStr">
        <is>
          <t>4</t>
        </is>
      </c>
      <c r="E15" s="25" t="inlineStr">
        <is>
          <t>Consumable</t>
        </is>
      </c>
      <c r="F15" t="inlineStr">
        <is>
          <t>Kaustubh</t>
        </is>
      </c>
      <c r="G15" t="inlineStr">
        <is>
          <t>India</t>
        </is>
      </c>
      <c r="I15" t="inlineStr">
        <is>
          <t>IQC Stage</t>
        </is>
      </c>
    </row>
    <row r="16">
      <c r="A16" t="n">
        <v>466</v>
      </c>
      <c r="B16" t="n">
        <v>2</v>
      </c>
      <c r="C16" s="24" t="inlineStr">
        <is>
          <t>Nut - Nylon Lock, M8 - arm mounting</t>
        </is>
      </c>
      <c r="D16" t="inlineStr">
        <is>
          <t>4</t>
        </is>
      </c>
      <c r="E16" s="25" t="inlineStr">
        <is>
          <t>Consumable</t>
        </is>
      </c>
      <c r="F16" t="inlineStr">
        <is>
          <t>Kaustubh</t>
        </is>
      </c>
      <c r="G16" t="inlineStr">
        <is>
          <t>India</t>
        </is>
      </c>
      <c r="I16" t="inlineStr">
        <is>
          <t>IQC Stage</t>
        </is>
      </c>
    </row>
    <row r="17">
      <c r="A17" t="n">
        <v>469</v>
      </c>
      <c r="B17" t="n">
        <v>2</v>
      </c>
      <c r="C17" s="24" t="inlineStr">
        <is>
          <t>Bolt - Socket Cap (SHCS), M4 x 16 mm - planner Econ camera mounting</t>
        </is>
      </c>
      <c r="D17" t="inlineStr">
        <is>
          <t>15</t>
        </is>
      </c>
      <c r="E17" s="25" t="inlineStr">
        <is>
          <t>Consumable</t>
        </is>
      </c>
      <c r="F17" t="inlineStr">
        <is>
          <t>Kaustubh</t>
        </is>
      </c>
      <c r="G17" t="inlineStr">
        <is>
          <t>India</t>
        </is>
      </c>
      <c r="I17" t="inlineStr">
        <is>
          <t>IQC Stage</t>
        </is>
      </c>
    </row>
    <row r="18">
      <c r="A18" t="n">
        <v>470</v>
      </c>
      <c r="B18" t="n">
        <v>2</v>
      </c>
      <c r="C18" s="24" t="inlineStr">
        <is>
          <t>Nut - T-Slot / Hammer, M4 (20x20 profile) - planner Econ camera mounting</t>
        </is>
      </c>
      <c r="D18" t="inlineStr">
        <is>
          <t>15</t>
        </is>
      </c>
      <c r="E18" s="25" t="inlineStr">
        <is>
          <t>Consumable</t>
        </is>
      </c>
      <c r="F18" t="inlineStr">
        <is>
          <t>Kaustubh</t>
        </is>
      </c>
      <c r="G18" t="inlineStr">
        <is>
          <t>India</t>
        </is>
      </c>
      <c r="I18" t="inlineStr">
        <is>
          <t>IQC Stage</t>
        </is>
      </c>
    </row>
    <row r="19">
      <c r="A19" t="n">
        <v>472</v>
      </c>
      <c r="B19" t="n">
        <v>2</v>
      </c>
      <c r="C19" s="24" t="inlineStr">
        <is>
          <t>Battery - Li-SOCl2 AA, ER14505 - driver encoder</t>
        </is>
      </c>
      <c r="D19" t="inlineStr">
        <is>
          <t>4.0</t>
        </is>
      </c>
      <c r="E19" s="25" t="inlineStr">
        <is>
          <t>Consumable</t>
        </is>
      </c>
      <c r="F19" t="inlineStr">
        <is>
          <t>Badri</t>
        </is>
      </c>
      <c r="G19" t="inlineStr">
        <is>
          <t>India</t>
        </is>
      </c>
      <c r="I19" t="inlineStr">
        <is>
          <t>IQC Stage</t>
        </is>
      </c>
    </row>
    <row r="20">
      <c r="A20" t="n">
        <v>483</v>
      </c>
      <c r="B20" t="n">
        <v>2</v>
      </c>
      <c r="C20" s="24" t="inlineStr">
        <is>
          <t>Threadlocker - Loctite 243 (medium strength)</t>
        </is>
      </c>
      <c r="D20" t="inlineStr">
        <is>
          <t>1</t>
        </is>
      </c>
      <c r="E20" s="25" t="inlineStr">
        <is>
          <t>Consumable</t>
        </is>
      </c>
      <c r="F20" t="inlineStr">
        <is>
          <t>Kaustubh</t>
        </is>
      </c>
      <c r="G20" t="inlineStr">
        <is>
          <t>India</t>
        </is>
      </c>
      <c r="I20" t="inlineStr">
        <is>
          <t>IQC Stage</t>
        </is>
      </c>
    </row>
    <row r="21">
      <c r="A21" t="n">
        <v>451</v>
      </c>
      <c r="B21" t="n">
        <v>19</v>
      </c>
      <c r="C21" s="24" t="inlineStr">
        <is>
          <t>Label - Shipping Labels &amp; Stamps</t>
        </is>
      </c>
      <c r="D21" t="inlineStr">
        <is>
          <t>6</t>
        </is>
      </c>
      <c r="E21" s="25" t="inlineStr">
        <is>
          <t>Consumable</t>
        </is>
      </c>
      <c r="F21" t="inlineStr">
        <is>
          <t>Kaustubh</t>
        </is>
      </c>
      <c r="G21" t="inlineStr">
        <is>
          <t>India</t>
        </is>
      </c>
      <c r="I21" t="inlineStr">
        <is>
          <t>IQC Stage</t>
        </is>
      </c>
    </row>
    <row r="22">
      <c r="A22" t="n">
        <v>457</v>
      </c>
      <c r="B22" t="n">
        <v>2</v>
      </c>
      <c r="C22" s="24" t="inlineStr">
        <is>
          <t>Knife Blades</t>
        </is>
      </c>
      <c r="D22" t="inlineStr">
        <is>
          <t>1</t>
        </is>
      </c>
      <c r="E22" s="25" t="inlineStr">
        <is>
          <t>Consumable</t>
        </is>
      </c>
      <c r="F22" t="inlineStr">
        <is>
          <t>Kaustubh</t>
        </is>
      </c>
      <c r="G22" t="inlineStr">
        <is>
          <t>India</t>
        </is>
      </c>
      <c r="H22" t="inlineStr">
        <is>
          <t>PR-2026-1651</t>
        </is>
      </c>
      <c r="I22" t="inlineStr">
        <is>
          <t>PR Raised</t>
        </is>
      </c>
    </row>
    <row r="23">
      <c r="A23" t="n">
        <v>110</v>
      </c>
      <c r="B23" t="n">
        <v>12</v>
      </c>
      <c r="C23" s="24" t="inlineStr">
        <is>
          <t>Bolt - Countersunk (CSK), M6 x 15 mm - piston rod end</t>
        </is>
      </c>
      <c r="D23" t="inlineStr">
        <is>
          <t>8</t>
        </is>
      </c>
      <c r="E23" s="25" t="inlineStr">
        <is>
          <t>Consumable</t>
        </is>
      </c>
      <c r="F23" t="inlineStr">
        <is>
          <t>Anand</t>
        </is>
      </c>
      <c r="G23" t="inlineStr">
        <is>
          <t>India</t>
        </is>
      </c>
      <c r="H23" t="inlineStr">
        <is>
          <t>PR-2026-1564</t>
        </is>
      </c>
      <c r="I23" t="inlineStr">
        <is>
          <t>PR Raised</t>
        </is>
      </c>
    </row>
    <row r="24">
      <c r="A24" t="n">
        <v>123</v>
      </c>
      <c r="B24" t="n">
        <v>13</v>
      </c>
      <c r="C24" s="24" t="inlineStr">
        <is>
          <t>Wire - PVC, 24 AWG, 2 Core</t>
        </is>
      </c>
      <c r="D24" t="inlineStr">
        <is>
          <t>10</t>
        </is>
      </c>
      <c r="E24" s="27" t="inlineStr">
        <is>
          <t>Borderline</t>
        </is>
      </c>
      <c r="F24" t="inlineStr">
        <is>
          <t>Badri</t>
        </is>
      </c>
      <c r="G24" t="inlineStr">
        <is>
          <t>India</t>
        </is>
      </c>
      <c r="I24" t="inlineStr">
        <is>
          <t>PR Raised</t>
        </is>
      </c>
    </row>
    <row r="25">
      <c r="A25" t="n">
        <v>150</v>
      </c>
      <c r="B25" t="n">
        <v>13</v>
      </c>
      <c r="C25" s="24" t="inlineStr">
        <is>
          <t>Crimp - JST XA Female (SXA-001T-P0.6)</t>
        </is>
      </c>
      <c r="D25" t="inlineStr">
        <is>
          <t>200.0</t>
        </is>
      </c>
      <c r="E25" s="25" t="inlineStr">
        <is>
          <t>Consumable</t>
        </is>
      </c>
      <c r="F25" t="inlineStr">
        <is>
          <t>Badri</t>
        </is>
      </c>
      <c r="G25" t="inlineStr">
        <is>
          <t>India</t>
        </is>
      </c>
      <c r="I25" t="inlineStr">
        <is>
          <t>PR Raised</t>
        </is>
      </c>
    </row>
    <row r="26">
      <c r="A26" t="n">
        <v>167</v>
      </c>
      <c r="B26" t="n">
        <v>13</v>
      </c>
      <c r="C26" s="24" t="inlineStr">
        <is>
          <t>Connector - RJ45 Cat 6, CE6324</t>
        </is>
      </c>
      <c r="D26" t="inlineStr">
        <is>
          <t>20</t>
        </is>
      </c>
      <c r="E26" s="27" t="inlineStr">
        <is>
          <t>Borderline</t>
        </is>
      </c>
      <c r="F26" t="inlineStr">
        <is>
          <t>Badri</t>
        </is>
      </c>
      <c r="G26" t="inlineStr">
        <is>
          <t>India</t>
        </is>
      </c>
      <c r="I26" t="inlineStr">
        <is>
          <t>PR Raised</t>
        </is>
      </c>
    </row>
    <row r="27">
      <c r="A27" t="n">
        <v>168</v>
      </c>
      <c r="B27" t="n">
        <v>13</v>
      </c>
      <c r="C27" s="24" t="inlineStr">
        <is>
          <t>Boot Cap - RJ45, CE6324</t>
        </is>
      </c>
      <c r="D27" t="inlineStr">
        <is>
          <t>20</t>
        </is>
      </c>
      <c r="E27" s="27" t="inlineStr">
        <is>
          <t>Borderline</t>
        </is>
      </c>
      <c r="F27" t="inlineStr">
        <is>
          <t>Badri</t>
        </is>
      </c>
      <c r="G27" t="inlineStr">
        <is>
          <t>India</t>
        </is>
      </c>
      <c r="I27" t="inlineStr">
        <is>
          <t>PR Raised</t>
        </is>
      </c>
    </row>
    <row r="28">
      <c r="A28" t="n">
        <v>169</v>
      </c>
      <c r="B28" t="n">
        <v>13</v>
      </c>
      <c r="C28" s="24" t="inlineStr">
        <is>
          <t>Connector - RJ45 Cat 7, FEDUS-CAT7</t>
        </is>
      </c>
      <c r="D28" t="inlineStr">
        <is>
          <t>20</t>
        </is>
      </c>
      <c r="E28" s="27" t="inlineStr">
        <is>
          <t>Borderline</t>
        </is>
      </c>
      <c r="F28" t="inlineStr">
        <is>
          <t>Badri</t>
        </is>
      </c>
      <c r="G28" t="inlineStr">
        <is>
          <t>India</t>
        </is>
      </c>
      <c r="I28" t="inlineStr">
        <is>
          <t>PR Raised</t>
        </is>
      </c>
    </row>
    <row r="29">
      <c r="A29" t="n">
        <v>196</v>
      </c>
      <c r="B29" t="n">
        <v>13</v>
      </c>
      <c r="C29" s="24" t="inlineStr">
        <is>
          <t>Lug - Ring, 4 AWG, M8 stud</t>
        </is>
      </c>
      <c r="D29" t="inlineStr">
        <is>
          <t>30</t>
        </is>
      </c>
      <c r="E29" s="25" t="inlineStr">
        <is>
          <t>Consumable</t>
        </is>
      </c>
      <c r="F29" t="inlineStr">
        <is>
          <t>Badri</t>
        </is>
      </c>
      <c r="G29" t="inlineStr">
        <is>
          <t>India</t>
        </is>
      </c>
      <c r="I29" t="inlineStr">
        <is>
          <t>PR Raised</t>
        </is>
      </c>
    </row>
    <row r="30">
      <c r="A30" t="n">
        <v>197</v>
      </c>
      <c r="B30" t="n">
        <v>13</v>
      </c>
      <c r="C30" s="24" t="inlineStr">
        <is>
          <t>Lug - Ring, 6 AWG, M8 stud</t>
        </is>
      </c>
      <c r="D30" t="inlineStr">
        <is>
          <t>30</t>
        </is>
      </c>
      <c r="E30" s="25" t="inlineStr">
        <is>
          <t>Consumable</t>
        </is>
      </c>
      <c r="F30" t="inlineStr">
        <is>
          <t>Badri</t>
        </is>
      </c>
      <c r="G30" t="inlineStr">
        <is>
          <t>India</t>
        </is>
      </c>
      <c r="I30" t="inlineStr">
        <is>
          <t>PR Raised</t>
        </is>
      </c>
    </row>
    <row r="31">
      <c r="A31" t="n">
        <v>198</v>
      </c>
      <c r="B31" t="n">
        <v>13</v>
      </c>
      <c r="C31" s="24" t="inlineStr">
        <is>
          <t>Lug - Ring, 12 AWG, M8 stud</t>
        </is>
      </c>
      <c r="D31" t="inlineStr">
        <is>
          <t>20</t>
        </is>
      </c>
      <c r="E31" s="25" t="inlineStr">
        <is>
          <t>Consumable</t>
        </is>
      </c>
      <c r="F31" t="inlineStr">
        <is>
          <t>Badri</t>
        </is>
      </c>
      <c r="G31" t="inlineStr">
        <is>
          <t>India</t>
        </is>
      </c>
      <c r="I31" t="inlineStr">
        <is>
          <t>PR Raised</t>
        </is>
      </c>
    </row>
    <row r="32">
      <c r="A32" t="n">
        <v>199</v>
      </c>
      <c r="B32" t="n">
        <v>13</v>
      </c>
      <c r="C32" s="24" t="inlineStr">
        <is>
          <t>Lug - Ring, 14 AWG, M8 stud</t>
        </is>
      </c>
      <c r="D32" t="inlineStr">
        <is>
          <t>20</t>
        </is>
      </c>
      <c r="E32" s="25" t="inlineStr">
        <is>
          <t>Consumable</t>
        </is>
      </c>
      <c r="F32" t="inlineStr">
        <is>
          <t>Badri</t>
        </is>
      </c>
      <c r="G32" t="inlineStr">
        <is>
          <t>India</t>
        </is>
      </c>
      <c r="I32" t="inlineStr">
        <is>
          <t>PR Raised</t>
        </is>
      </c>
    </row>
    <row r="33">
      <c r="A33" t="n">
        <v>200</v>
      </c>
      <c r="B33" t="n">
        <v>13</v>
      </c>
      <c r="C33" s="24" t="inlineStr">
        <is>
          <t>Lug - Ring, 14 AWG, M6 stud</t>
        </is>
      </c>
      <c r="D33" t="inlineStr">
        <is>
          <t>20</t>
        </is>
      </c>
      <c r="E33" s="25" t="inlineStr">
        <is>
          <t>Consumable</t>
        </is>
      </c>
      <c r="F33" t="inlineStr">
        <is>
          <t>Badri</t>
        </is>
      </c>
      <c r="G33" t="inlineStr">
        <is>
          <t>India</t>
        </is>
      </c>
      <c r="I33" t="inlineStr">
        <is>
          <t>PR Raised</t>
        </is>
      </c>
    </row>
    <row r="34">
      <c r="A34" t="n">
        <v>201</v>
      </c>
      <c r="B34" t="n">
        <v>13</v>
      </c>
      <c r="C34" s="24" t="inlineStr">
        <is>
          <t>Lug - Ring, 22 AWG, M8 stud</t>
        </is>
      </c>
      <c r="D34" t="inlineStr">
        <is>
          <t>20</t>
        </is>
      </c>
      <c r="E34" s="25" t="inlineStr">
        <is>
          <t>Consumable</t>
        </is>
      </c>
      <c r="F34" t="inlineStr">
        <is>
          <t>Badri</t>
        </is>
      </c>
      <c r="G34" t="inlineStr">
        <is>
          <t>India</t>
        </is>
      </c>
      <c r="I34" t="inlineStr">
        <is>
          <t>PR Raised</t>
        </is>
      </c>
    </row>
    <row r="35">
      <c r="A35" t="n">
        <v>202</v>
      </c>
      <c r="B35" t="n">
        <v>13</v>
      </c>
      <c r="C35" s="24" t="inlineStr">
        <is>
          <t>Lug - Ring, 22 AWG, M3 stud</t>
        </is>
      </c>
      <c r="D35" t="inlineStr">
        <is>
          <t>20</t>
        </is>
      </c>
      <c r="E35" s="25" t="inlineStr">
        <is>
          <t>Consumable</t>
        </is>
      </c>
      <c r="F35" t="inlineStr">
        <is>
          <t>Badri</t>
        </is>
      </c>
      <c r="G35" t="inlineStr">
        <is>
          <t>India</t>
        </is>
      </c>
      <c r="I35" t="inlineStr">
        <is>
          <t>PR Raised</t>
        </is>
      </c>
    </row>
    <row r="36">
      <c r="A36" t="n">
        <v>204</v>
      </c>
      <c r="B36" t="n">
        <v>13</v>
      </c>
      <c r="C36" s="24" t="inlineStr">
        <is>
          <t>Lug - Ring, 22 AWG, M6 stud</t>
        </is>
      </c>
      <c r="D36" t="inlineStr">
        <is>
          <t>20</t>
        </is>
      </c>
      <c r="E36" s="25" t="inlineStr">
        <is>
          <t>Consumable</t>
        </is>
      </c>
      <c r="F36" t="inlineStr">
        <is>
          <t>Badri</t>
        </is>
      </c>
      <c r="G36" t="inlineStr">
        <is>
          <t>India</t>
        </is>
      </c>
      <c r="I36" t="inlineStr">
        <is>
          <t>PR Raised</t>
        </is>
      </c>
    </row>
    <row r="37">
      <c r="A37" t="n">
        <v>211</v>
      </c>
      <c r="B37" t="n">
        <v>13</v>
      </c>
      <c r="C37" s="24" t="inlineStr">
        <is>
          <t>Conduit- Cable, PG7</t>
        </is>
      </c>
      <c r="D37" t="inlineStr">
        <is>
          <t>3m</t>
        </is>
      </c>
      <c r="E37" s="27" t="inlineStr">
        <is>
          <t>Borderline</t>
        </is>
      </c>
      <c r="F37" t="inlineStr">
        <is>
          <t>Kaustubh</t>
        </is>
      </c>
      <c r="G37" t="inlineStr">
        <is>
          <t>India</t>
        </is>
      </c>
      <c r="H37" t="inlineStr">
        <is>
          <t>PR-2026-1650</t>
        </is>
      </c>
      <c r="I37" t="inlineStr">
        <is>
          <t>PR Raised</t>
        </is>
      </c>
    </row>
    <row r="38">
      <c r="A38" t="n">
        <v>212</v>
      </c>
      <c r="B38" t="n">
        <v>13</v>
      </c>
      <c r="C38" s="24" t="inlineStr">
        <is>
          <t>Conduit- Cable, PG9</t>
        </is>
      </c>
      <c r="D38" t="inlineStr">
        <is>
          <t>3m</t>
        </is>
      </c>
      <c r="E38" s="27" t="inlineStr">
        <is>
          <t>Borderline</t>
        </is>
      </c>
      <c r="F38" t="inlineStr">
        <is>
          <t>Kaustubh</t>
        </is>
      </c>
      <c r="G38" t="inlineStr">
        <is>
          <t>India</t>
        </is>
      </c>
      <c r="H38" t="inlineStr">
        <is>
          <t>PR-2026-1650</t>
        </is>
      </c>
      <c r="I38" t="inlineStr">
        <is>
          <t>PR Raised</t>
        </is>
      </c>
    </row>
    <row r="39">
      <c r="A39" t="n">
        <v>213</v>
      </c>
      <c r="B39" t="n">
        <v>13</v>
      </c>
      <c r="C39" s="24" t="inlineStr">
        <is>
          <t>Conduit - Cable, PG11</t>
        </is>
      </c>
      <c r="D39" t="inlineStr">
        <is>
          <t>3m</t>
        </is>
      </c>
      <c r="E39" s="27" t="inlineStr">
        <is>
          <t>Borderline</t>
        </is>
      </c>
      <c r="F39" t="inlineStr">
        <is>
          <t>Kaustubh</t>
        </is>
      </c>
      <c r="G39" t="inlineStr">
        <is>
          <t>India</t>
        </is>
      </c>
      <c r="H39" t="inlineStr">
        <is>
          <t>PR-2026-1650</t>
        </is>
      </c>
      <c r="I39" t="inlineStr">
        <is>
          <t>PR Raised</t>
        </is>
      </c>
    </row>
    <row r="40">
      <c r="A40" t="n">
        <v>214</v>
      </c>
      <c r="B40" t="n">
        <v>13</v>
      </c>
      <c r="C40" s="24" t="inlineStr">
        <is>
          <t>Cable Track - 15 x 30 mm</t>
        </is>
      </c>
      <c r="D40" t="inlineStr">
        <is>
          <t>2m</t>
        </is>
      </c>
      <c r="E40" s="27" t="inlineStr">
        <is>
          <t>Borderline</t>
        </is>
      </c>
      <c r="F40" t="inlineStr">
        <is>
          <t>SANKALP</t>
        </is>
      </c>
      <c r="G40" t="inlineStr">
        <is>
          <t>India</t>
        </is>
      </c>
      <c r="H40" t="inlineStr">
        <is>
          <t>PR-2026-1642</t>
        </is>
      </c>
      <c r="I40" t="inlineStr">
        <is>
          <t>PR Raised</t>
        </is>
      </c>
    </row>
    <row r="41">
      <c r="A41" t="n">
        <v>335</v>
      </c>
      <c r="B41" t="n">
        <v>16</v>
      </c>
      <c r="C41" s="24" t="inlineStr">
        <is>
          <t>Nut - Nylon Lock, M4</t>
        </is>
      </c>
      <c r="D41" t="inlineStr">
        <is>
          <t>20.0</t>
        </is>
      </c>
      <c r="E41" s="25" t="inlineStr">
        <is>
          <t>Consumable</t>
        </is>
      </c>
      <c r="F41" t="inlineStr">
        <is>
          <t>Kaustubh</t>
        </is>
      </c>
      <c r="G41" t="inlineStr">
        <is>
          <t>India</t>
        </is>
      </c>
      <c r="H41" t="inlineStr">
        <is>
          <t>PR-2026-1677</t>
        </is>
      </c>
      <c r="I41" t="inlineStr">
        <is>
          <t>PR Raised</t>
        </is>
      </c>
    </row>
    <row r="42">
      <c r="A42" t="n">
        <v>340</v>
      </c>
      <c r="B42" t="n">
        <v>16</v>
      </c>
      <c r="C42" s="24" t="inlineStr">
        <is>
          <t>Washer - Flat, M2</t>
        </is>
      </c>
      <c r="D42" t="inlineStr">
        <is>
          <t>20.0</t>
        </is>
      </c>
      <c r="E42" s="25" t="inlineStr">
        <is>
          <t>Consumable</t>
        </is>
      </c>
      <c r="F42" t="inlineStr">
        <is>
          <t>Kaustubh</t>
        </is>
      </c>
      <c r="G42" t="inlineStr">
        <is>
          <t>India</t>
        </is>
      </c>
      <c r="H42" t="inlineStr">
        <is>
          <t>PR-2026-1677</t>
        </is>
      </c>
      <c r="I42" t="inlineStr">
        <is>
          <t>PR Raised</t>
        </is>
      </c>
    </row>
    <row r="43">
      <c r="A43" t="n">
        <v>343</v>
      </c>
      <c r="B43" t="n">
        <v>16</v>
      </c>
      <c r="C43" s="24" t="inlineStr">
        <is>
          <t>Washer - Flat, M5</t>
        </is>
      </c>
      <c r="D43" t="inlineStr">
        <is>
          <t>20.0</t>
        </is>
      </c>
      <c r="E43" s="25" t="inlineStr">
        <is>
          <t>Consumable</t>
        </is>
      </c>
      <c r="F43" t="inlineStr">
        <is>
          <t>Kaustubh</t>
        </is>
      </c>
      <c r="G43" t="inlineStr">
        <is>
          <t>India</t>
        </is>
      </c>
      <c r="H43" t="inlineStr">
        <is>
          <t>PR-2026-1677</t>
        </is>
      </c>
      <c r="I43" t="inlineStr">
        <is>
          <t>PR Raised</t>
        </is>
      </c>
    </row>
    <row r="44">
      <c r="A44" t="n">
        <v>344</v>
      </c>
      <c r="B44" t="n">
        <v>16</v>
      </c>
      <c r="C44" s="24" t="inlineStr">
        <is>
          <t>Washer - Flat, M6</t>
        </is>
      </c>
      <c r="D44" t="inlineStr">
        <is>
          <t>20.0</t>
        </is>
      </c>
      <c r="E44" s="25" t="inlineStr">
        <is>
          <t>Consumable</t>
        </is>
      </c>
      <c r="F44" t="inlineStr">
        <is>
          <t>Kaustubh</t>
        </is>
      </c>
      <c r="G44" t="inlineStr">
        <is>
          <t>India</t>
        </is>
      </c>
      <c r="H44" t="inlineStr">
        <is>
          <t>PR-2026-1677</t>
        </is>
      </c>
      <c r="I44" t="inlineStr">
        <is>
          <t>PR Raised</t>
        </is>
      </c>
    </row>
    <row r="45">
      <c r="A45" t="n">
        <v>350</v>
      </c>
      <c r="B45" t="n">
        <v>16</v>
      </c>
      <c r="C45" s="24" t="inlineStr">
        <is>
          <t>Washer - Spring, M4</t>
        </is>
      </c>
      <c r="D45" t="inlineStr">
        <is>
          <t>20.0</t>
        </is>
      </c>
      <c r="E45" s="25" t="inlineStr">
        <is>
          <t>Consumable</t>
        </is>
      </c>
      <c r="F45" t="inlineStr">
        <is>
          <t>Kaustubh</t>
        </is>
      </c>
      <c r="G45" t="inlineStr">
        <is>
          <t>India</t>
        </is>
      </c>
      <c r="H45" t="inlineStr">
        <is>
          <t>PR-2026-1677</t>
        </is>
      </c>
      <c r="I45" t="inlineStr">
        <is>
          <t>PR Raised</t>
        </is>
      </c>
    </row>
    <row r="46">
      <c r="A46" t="n">
        <v>352</v>
      </c>
      <c r="B46" t="n">
        <v>16</v>
      </c>
      <c r="C46" s="24" t="inlineStr">
        <is>
          <t>Washer - Spring, M5</t>
        </is>
      </c>
      <c r="D46" t="inlineStr">
        <is>
          <t>20.0</t>
        </is>
      </c>
      <c r="E46" s="25" t="inlineStr">
        <is>
          <t>Consumable</t>
        </is>
      </c>
      <c r="F46" t="inlineStr">
        <is>
          <t>Kaustubh</t>
        </is>
      </c>
      <c r="G46" t="inlineStr">
        <is>
          <t>India</t>
        </is>
      </c>
      <c r="H46" t="inlineStr">
        <is>
          <t>PR-2026-1677</t>
        </is>
      </c>
      <c r="I46" t="inlineStr">
        <is>
          <t>PR Raised</t>
        </is>
      </c>
    </row>
    <row r="47">
      <c r="A47" t="n">
        <v>356</v>
      </c>
      <c r="B47" t="n">
        <v>16</v>
      </c>
      <c r="C47" s="24" t="inlineStr">
        <is>
          <t>Nut - T-Slot / Hammer, M4 (40x40 profile)</t>
        </is>
      </c>
      <c r="D47" t="inlineStr">
        <is>
          <t>50</t>
        </is>
      </c>
      <c r="E47" s="25" t="inlineStr">
        <is>
          <t>Consumable</t>
        </is>
      </c>
      <c r="F47" t="inlineStr">
        <is>
          <t>Kaustubh</t>
        </is>
      </c>
      <c r="G47" t="inlineStr">
        <is>
          <t>India</t>
        </is>
      </c>
      <c r="H47" t="inlineStr">
        <is>
          <t>PR-2026-1677</t>
        </is>
      </c>
      <c r="I47" t="inlineStr">
        <is>
          <t>PR Raised</t>
        </is>
      </c>
    </row>
    <row r="48">
      <c r="A48" t="n">
        <v>357</v>
      </c>
      <c r="B48" t="n">
        <v>16</v>
      </c>
      <c r="C48" s="24" t="inlineStr">
        <is>
          <t>Nut - T-Slot / Hammer, M4 (20x20 profile)</t>
        </is>
      </c>
      <c r="D48" t="inlineStr">
        <is>
          <t>50.0</t>
        </is>
      </c>
      <c r="E48" s="25" t="inlineStr">
        <is>
          <t>Consumable</t>
        </is>
      </c>
      <c r="F48" t="inlineStr">
        <is>
          <t>Kaustubh</t>
        </is>
      </c>
      <c r="G48" t="inlineStr">
        <is>
          <t>India</t>
        </is>
      </c>
      <c r="H48" t="inlineStr">
        <is>
          <t>PR-2026-1677</t>
        </is>
      </c>
      <c r="I48" t="inlineStr">
        <is>
          <t>PR Raised</t>
        </is>
      </c>
    </row>
    <row r="49">
      <c r="A49" t="n">
        <v>371</v>
      </c>
      <c r="B49" t="n">
        <v>16</v>
      </c>
      <c r="C49" s="24" t="inlineStr">
        <is>
          <t>Gasket - Door Rubber Profile, MFT 002B</t>
        </is>
      </c>
      <c r="D49" t="inlineStr">
        <is>
          <t>3m</t>
        </is>
      </c>
      <c r="E49" s="27" t="inlineStr">
        <is>
          <t>Borderline</t>
        </is>
      </c>
      <c r="F49" t="inlineStr">
        <is>
          <t>Kaustubh</t>
        </is>
      </c>
      <c r="G49" t="inlineStr">
        <is>
          <t>India</t>
        </is>
      </c>
      <c r="H49" t="inlineStr">
        <is>
          <t>PR-2026-1652</t>
        </is>
      </c>
      <c r="I49" t="inlineStr">
        <is>
          <t>PR Raised</t>
        </is>
      </c>
    </row>
    <row r="50">
      <c r="A50" t="n">
        <v>401</v>
      </c>
      <c r="B50" t="n">
        <v>18</v>
      </c>
      <c r="C50" s="24" t="inlineStr">
        <is>
          <t>Gasket Strip - Rubber Channel, Self-Adhesive (Tintvent), thin</t>
        </is>
      </c>
      <c r="D50" t="inlineStr">
        <is>
          <t>1</t>
        </is>
      </c>
      <c r="E50" s="25" t="inlineStr">
        <is>
          <t>Consumable</t>
        </is>
      </c>
      <c r="F50" t="inlineStr">
        <is>
          <t>Kaustubh</t>
        </is>
      </c>
      <c r="G50" t="inlineStr">
        <is>
          <t>India</t>
        </is>
      </c>
      <c r="H50" t="inlineStr">
        <is>
          <t>PR-2026-1667</t>
        </is>
      </c>
      <c r="I50" t="inlineStr">
        <is>
          <t>PR Raised</t>
        </is>
      </c>
    </row>
    <row r="51">
      <c r="A51" t="n">
        <v>402</v>
      </c>
      <c r="B51" t="n">
        <v>18</v>
      </c>
      <c r="C51" s="24" t="inlineStr">
        <is>
          <t>Tape - Cloth (gaffer)</t>
        </is>
      </c>
      <c r="D51" t="inlineStr">
        <is>
          <t>5</t>
        </is>
      </c>
      <c r="E51" s="25" t="inlineStr">
        <is>
          <t>Consumable</t>
        </is>
      </c>
      <c r="F51" t="inlineStr">
        <is>
          <t>Badri</t>
        </is>
      </c>
      <c r="G51" t="inlineStr">
        <is>
          <t>India</t>
        </is>
      </c>
      <c r="I51" t="inlineStr">
        <is>
          <t>PR Raised</t>
        </is>
      </c>
    </row>
    <row r="52">
      <c r="A52" t="n">
        <v>403</v>
      </c>
      <c r="B52" t="n">
        <v>18</v>
      </c>
      <c r="C52" s="24" t="inlineStr">
        <is>
          <t>Tape - Copper Foil</t>
        </is>
      </c>
      <c r="D52" t="inlineStr">
        <is>
          <t>2</t>
        </is>
      </c>
      <c r="E52" s="25" t="inlineStr">
        <is>
          <t>Consumable</t>
        </is>
      </c>
      <c r="F52" t="inlineStr">
        <is>
          <t>Badri</t>
        </is>
      </c>
      <c r="G52" t="inlineStr">
        <is>
          <t>India</t>
        </is>
      </c>
      <c r="I52" t="inlineStr">
        <is>
          <t>PR Raised</t>
        </is>
      </c>
    </row>
    <row r="53">
      <c r="A53" t="n">
        <v>404</v>
      </c>
      <c r="B53" t="n">
        <v>18</v>
      </c>
      <c r="C53" s="24" t="inlineStr">
        <is>
          <t>Tape - Kapton (polyimide)</t>
        </is>
      </c>
      <c r="D53" t="inlineStr">
        <is>
          <t>1</t>
        </is>
      </c>
      <c r="E53" s="25" t="inlineStr">
        <is>
          <t>Consumable</t>
        </is>
      </c>
      <c r="F53" t="inlineStr">
        <is>
          <t>Badri</t>
        </is>
      </c>
      <c r="G53" t="inlineStr">
        <is>
          <t>India</t>
        </is>
      </c>
      <c r="I53" t="inlineStr">
        <is>
          <t>PR Raised</t>
        </is>
      </c>
    </row>
    <row r="54">
      <c r="A54" t="n">
        <v>432</v>
      </c>
      <c r="B54" t="n">
        <v>18</v>
      </c>
      <c r="C54" s="24" t="inlineStr">
        <is>
          <t>Filter - Foam, 40 ppi - fan intake</t>
        </is>
      </c>
      <c r="D54" t="inlineStr">
        <is>
          <t>1.5*2 m</t>
        </is>
      </c>
      <c r="E54" s="25" t="inlineStr">
        <is>
          <t>Consumable</t>
        </is>
      </c>
      <c r="F54" t="inlineStr">
        <is>
          <t>Kaustubh</t>
        </is>
      </c>
      <c r="G54" t="inlineStr">
        <is>
          <t>India</t>
        </is>
      </c>
      <c r="H54" t="inlineStr">
        <is>
          <t>PR-2026-1639</t>
        </is>
      </c>
      <c r="I54" t="inlineStr">
        <is>
          <t>PR Raised</t>
        </is>
      </c>
    </row>
    <row r="55">
      <c r="A55" t="n">
        <v>435</v>
      </c>
      <c r="B55" t="n">
        <v>18</v>
      </c>
      <c r="C55" s="24" t="inlineStr">
        <is>
          <t>Gloves - Nitrile, Disposable</t>
        </is>
      </c>
      <c r="D55" t="inlineStr">
        <is>
          <t>50</t>
        </is>
      </c>
      <c r="E55" s="25" t="inlineStr">
        <is>
          <t>Consumable</t>
        </is>
      </c>
      <c r="F55" t="inlineStr">
        <is>
          <t>Kaustubh</t>
        </is>
      </c>
      <c r="G55" t="inlineStr">
        <is>
          <t>India</t>
        </is>
      </c>
      <c r="H55" t="inlineStr">
        <is>
          <t>PR-2026-1649</t>
        </is>
      </c>
      <c r="I55" t="inlineStr">
        <is>
          <t>PR Raised</t>
        </is>
      </c>
    </row>
    <row r="56">
      <c r="A56" t="n">
        <v>441</v>
      </c>
      <c r="B56" t="n">
        <v>19</v>
      </c>
      <c r="C56" s="24" t="inlineStr">
        <is>
          <t>Strap - PET Banding Roll</t>
        </is>
      </c>
      <c r="D56" t="inlineStr">
        <is>
          <t>1 roll</t>
        </is>
      </c>
      <c r="E56" s="25" t="inlineStr">
        <is>
          <t>Consumable</t>
        </is>
      </c>
      <c r="F56" t="inlineStr">
        <is>
          <t>Kaustubh</t>
        </is>
      </c>
      <c r="G56" t="inlineStr">
        <is>
          <t>India</t>
        </is>
      </c>
      <c r="H56" t="inlineStr">
        <is>
          <t>PR-2026-1570</t>
        </is>
      </c>
      <c r="I56" t="inlineStr">
        <is>
          <t>PR Raised</t>
        </is>
      </c>
    </row>
    <row r="57">
      <c r="A57" t="n">
        <v>448</v>
      </c>
      <c r="B57" t="n">
        <v>19</v>
      </c>
      <c r="C57" s="24" t="inlineStr">
        <is>
          <t>Tape - Packing</t>
        </is>
      </c>
      <c r="D57" t="inlineStr">
        <is>
          <t>3 rolls</t>
        </is>
      </c>
      <c r="E57" s="25" t="inlineStr">
        <is>
          <t>Consumable</t>
        </is>
      </c>
      <c r="F57" t="inlineStr">
        <is>
          <t>Kaustubh</t>
        </is>
      </c>
      <c r="G57" t="inlineStr">
        <is>
          <t>India</t>
        </is>
      </c>
      <c r="H57" t="inlineStr">
        <is>
          <t>PR-2026-1574</t>
        </is>
      </c>
      <c r="I57" t="inlineStr">
        <is>
          <t>PR Raised</t>
        </is>
      </c>
    </row>
    <row r="58">
      <c r="A58" t="n">
        <v>454</v>
      </c>
      <c r="B58" t="n">
        <v>19</v>
      </c>
      <c r="C58" s="24" t="inlineStr">
        <is>
          <t>Tilt Indicator - Tilt Watch XTR</t>
        </is>
      </c>
      <c r="D58" t="inlineStr">
        <is>
          <t>6</t>
        </is>
      </c>
      <c r="E58" s="25" t="inlineStr">
        <is>
          <t>Consumable</t>
        </is>
      </c>
      <c r="F58" t="inlineStr">
        <is>
          <t>Kaustubh</t>
        </is>
      </c>
      <c r="G58" t="inlineStr">
        <is>
          <t>India</t>
        </is>
      </c>
      <c r="H58" t="inlineStr">
        <is>
          <t>PR-2026-1575</t>
        </is>
      </c>
      <c r="I58" t="inlineStr">
        <is>
          <t>PR Raised</t>
        </is>
      </c>
    </row>
    <row r="59">
      <c r="A59" t="n">
        <v>455</v>
      </c>
      <c r="B59" t="n">
        <v>19</v>
      </c>
      <c r="C59" s="24" t="inlineStr">
        <is>
          <t>Tilt Indicator - Tilt Watch Plus</t>
        </is>
      </c>
      <c r="D59" t="inlineStr">
        <is>
          <t>6</t>
        </is>
      </c>
      <c r="E59" s="25" t="inlineStr">
        <is>
          <t>Consumable</t>
        </is>
      </c>
      <c r="F59" t="inlineStr">
        <is>
          <t>Kaustubh</t>
        </is>
      </c>
      <c r="G59" t="inlineStr">
        <is>
          <t>India</t>
        </is>
      </c>
      <c r="H59" t="inlineStr">
        <is>
          <t>PR-2026-1576</t>
        </is>
      </c>
      <c r="I59" t="inlineStr">
        <is>
          <t>PR Raised</t>
        </is>
      </c>
    </row>
    <row r="60">
      <c r="A60" t="n">
        <v>449</v>
      </c>
      <c r="B60" t="n">
        <v>19</v>
      </c>
      <c r="C60" s="24" t="inlineStr">
        <is>
          <t>Label - Handle With Care Sticker</t>
        </is>
      </c>
      <c r="D60" t="inlineStr">
        <is>
          <t>20</t>
        </is>
      </c>
      <c r="E60" s="25" t="inlineStr">
        <is>
          <t>Consumable</t>
        </is>
      </c>
      <c r="F60" t="inlineStr">
        <is>
          <t>Kaustubh</t>
        </is>
      </c>
      <c r="G60" t="inlineStr">
        <is>
          <t>India</t>
        </is>
      </c>
      <c r="I60" t="inlineStr">
        <is>
          <t>To be Printed</t>
        </is>
      </c>
    </row>
    <row r="61">
      <c r="A61" t="n">
        <v>450</v>
      </c>
      <c r="B61" t="n">
        <v>19</v>
      </c>
      <c r="C61" s="24" t="inlineStr">
        <is>
          <t>Stencil - Direction Marking</t>
        </is>
      </c>
      <c r="D61" t="inlineStr">
        <is>
          <t>1</t>
        </is>
      </c>
      <c r="E61" s="25" t="inlineStr">
        <is>
          <t>Consumable</t>
        </is>
      </c>
      <c r="F61" t="inlineStr">
        <is>
          <t>Kaustubh</t>
        </is>
      </c>
      <c r="G61" t="inlineStr">
        <is>
          <t>India</t>
        </is>
      </c>
      <c r="I61" t="inlineStr">
        <is>
          <t>To be Printed</t>
        </is>
      </c>
    </row>
    <row r="62">
      <c r="A62" t="n">
        <v>66</v>
      </c>
      <c r="B62" t="n">
        <v>12</v>
      </c>
      <c r="C62" s="24" t="inlineStr">
        <is>
          <t>Repair Kit - Graco Pump, 17H844</t>
        </is>
      </c>
      <c r="D62" t="inlineStr">
        <is>
          <t>1</t>
        </is>
      </c>
      <c r="E62" s="25" t="inlineStr">
        <is>
          <t>Consumable</t>
        </is>
      </c>
      <c r="F62" t="inlineStr">
        <is>
          <t>Anand</t>
        </is>
      </c>
      <c r="G62" t="inlineStr">
        <is>
          <t>Buy in US</t>
        </is>
      </c>
      <c r="I62" t="inlineStr">
        <is>
          <t>To be purchased</t>
        </is>
      </c>
    </row>
    <row r="63">
      <c r="A63" t="n">
        <v>67</v>
      </c>
      <c r="B63" t="n">
        <v>12</v>
      </c>
      <c r="C63" s="24" t="inlineStr">
        <is>
          <t>Repair Kit - Graco Foot Valve, 24N013</t>
        </is>
      </c>
      <c r="D63" t="inlineStr">
        <is>
          <t>1</t>
        </is>
      </c>
      <c r="E63" s="25" t="inlineStr">
        <is>
          <t>Consumable</t>
        </is>
      </c>
      <c r="F63" t="inlineStr">
        <is>
          <t>Anand</t>
        </is>
      </c>
      <c r="G63" t="inlineStr">
        <is>
          <t>Buy in US</t>
        </is>
      </c>
      <c r="I63" t="inlineStr">
        <is>
          <t>To be purchased</t>
        </is>
      </c>
    </row>
    <row r="64">
      <c r="A64" t="n">
        <v>68</v>
      </c>
      <c r="B64" t="n">
        <v>12</v>
      </c>
      <c r="C64" s="24" t="inlineStr">
        <is>
          <t>Repair Kit - Graco Mark X Drain Valve, 245103</t>
        </is>
      </c>
      <c r="D64" t="inlineStr">
        <is>
          <t>1</t>
        </is>
      </c>
      <c r="E64" s="25" t="inlineStr">
        <is>
          <t>Consumable</t>
        </is>
      </c>
      <c r="F64" t="inlineStr">
        <is>
          <t>Anand</t>
        </is>
      </c>
      <c r="G64" t="inlineStr">
        <is>
          <t>Buy in US</t>
        </is>
      </c>
      <c r="I64" t="inlineStr">
        <is>
          <t>To be purchased</t>
        </is>
      </c>
    </row>
    <row r="65">
      <c r="A65" t="n">
        <v>69</v>
      </c>
      <c r="B65" t="n">
        <v>12</v>
      </c>
      <c r="C65" s="24" t="inlineStr">
        <is>
          <t>Strainer - Pump Inlet, Graco 189920</t>
        </is>
      </c>
      <c r="D65" t="inlineStr">
        <is>
          <t>1</t>
        </is>
      </c>
      <c r="E65" s="25" t="inlineStr">
        <is>
          <t>Consumable</t>
        </is>
      </c>
      <c r="F65" t="inlineStr">
        <is>
          <t>Anand</t>
        </is>
      </c>
      <c r="G65" t="inlineStr">
        <is>
          <t>Buy in US</t>
        </is>
      </c>
      <c r="I65" t="inlineStr">
        <is>
          <t>To be purchased</t>
        </is>
      </c>
    </row>
    <row r="66">
      <c r="A66" t="n">
        <v>71</v>
      </c>
      <c r="B66" t="n">
        <v>12</v>
      </c>
      <c r="C66" s="24" t="inlineStr">
        <is>
          <t>O-Ring - Foot Valve to Ball Seat, Graco 17E793</t>
        </is>
      </c>
      <c r="D66" t="inlineStr">
        <is>
          <t>1</t>
        </is>
      </c>
      <c r="E66" s="25" t="inlineStr">
        <is>
          <t>Consumable</t>
        </is>
      </c>
      <c r="F66" t="inlineStr">
        <is>
          <t>Anand</t>
        </is>
      </c>
      <c r="G66" t="inlineStr">
        <is>
          <t>Buy in US</t>
        </is>
      </c>
      <c r="I66" t="inlineStr">
        <is>
          <t>To be purchased</t>
        </is>
      </c>
    </row>
    <row r="67">
      <c r="A67" t="n">
        <v>72</v>
      </c>
      <c r="B67" t="n">
        <v>12</v>
      </c>
      <c r="C67" s="24" t="inlineStr">
        <is>
          <t>Ball Seat - Pump Inlet</t>
        </is>
      </c>
      <c r="D67" t="inlineStr">
        <is>
          <t>1</t>
        </is>
      </c>
      <c r="E67" s="25" t="inlineStr">
        <is>
          <t>Consumable</t>
        </is>
      </c>
      <c r="F67" t="inlineStr">
        <is>
          <t>Anand</t>
        </is>
      </c>
      <c r="G67" t="inlineStr">
        <is>
          <t>Buy in US</t>
        </is>
      </c>
      <c r="I67" t="inlineStr">
        <is>
          <t>To be purchased</t>
        </is>
      </c>
    </row>
    <row r="68">
      <c r="A68" t="n">
        <v>73</v>
      </c>
      <c r="B68" t="n">
        <v>12</v>
      </c>
      <c r="C68" s="24" t="inlineStr">
        <is>
          <t>Check Ball - Pump Inlet, Ceramic, Graco 17R046</t>
        </is>
      </c>
      <c r="D68" t="inlineStr">
        <is>
          <t>1</t>
        </is>
      </c>
      <c r="E68" s="25" t="inlineStr">
        <is>
          <t>Consumable</t>
        </is>
      </c>
      <c r="F68" t="inlineStr">
        <is>
          <t>Anand</t>
        </is>
      </c>
      <c r="G68" t="inlineStr">
        <is>
          <t>Buy in US</t>
        </is>
      </c>
      <c r="I68" t="inlineStr">
        <is>
          <t>To be purchased</t>
        </is>
      </c>
    </row>
    <row r="69">
      <c r="A69" t="n">
        <v>75</v>
      </c>
      <c r="B69" t="n">
        <v>12</v>
      </c>
      <c r="C69" s="24" t="inlineStr">
        <is>
          <t>Spring - Inlet Ball, Graco 24E027</t>
        </is>
      </c>
      <c r="D69" t="inlineStr">
        <is>
          <t>1</t>
        </is>
      </c>
      <c r="E69" s="25" t="inlineStr">
        <is>
          <t>Consumable</t>
        </is>
      </c>
      <c r="F69" t="inlineStr">
        <is>
          <t>Anand</t>
        </is>
      </c>
      <c r="G69" t="inlineStr">
        <is>
          <t>Buy in US</t>
        </is>
      </c>
      <c r="I69" t="inlineStr">
        <is>
          <t>To be purchased</t>
        </is>
      </c>
    </row>
    <row r="70">
      <c r="A70" t="n">
        <v>76</v>
      </c>
      <c r="B70" t="n">
        <v>12</v>
      </c>
      <c r="C70" s="24" t="inlineStr">
        <is>
          <t>O-Ring - Pump Stem to Foot Valve, Graco 160325</t>
        </is>
      </c>
      <c r="D70" t="inlineStr">
        <is>
          <t>1</t>
        </is>
      </c>
      <c r="E70" s="25" t="inlineStr">
        <is>
          <t>Consumable</t>
        </is>
      </c>
      <c r="F70" t="inlineStr">
        <is>
          <t>Anand</t>
        </is>
      </c>
      <c r="G70" t="inlineStr">
        <is>
          <t>Buy in US</t>
        </is>
      </c>
      <c r="I70" t="inlineStr">
        <is>
          <t>To be purchased</t>
        </is>
      </c>
    </row>
    <row r="71">
      <c r="A71" t="n">
        <v>84</v>
      </c>
      <c r="B71" t="n">
        <v>12</v>
      </c>
      <c r="C71" s="24" t="inlineStr">
        <is>
          <t>Gasket - Fluid, Acetal Homopolymer, Graco 288200</t>
        </is>
      </c>
      <c r="D71" t="inlineStr">
        <is>
          <t>1</t>
        </is>
      </c>
      <c r="E71" s="25" t="inlineStr">
        <is>
          <t>Consumable</t>
        </is>
      </c>
      <c r="F71" t="inlineStr">
        <is>
          <t>Anand</t>
        </is>
      </c>
      <c r="G71" t="inlineStr">
        <is>
          <t>Buy in US</t>
        </is>
      </c>
      <c r="I71" t="inlineStr">
        <is>
          <t>To be purchased</t>
        </is>
      </c>
    </row>
    <row r="72">
      <c r="A72" t="n">
        <v>85</v>
      </c>
      <c r="B72" t="n">
        <v>12</v>
      </c>
      <c r="C72" s="24" t="inlineStr">
        <is>
          <t>Gasket - Diffuser Valve, Graco 189970</t>
        </is>
      </c>
      <c r="D72" t="inlineStr">
        <is>
          <t>1</t>
        </is>
      </c>
      <c r="E72" s="25" t="inlineStr">
        <is>
          <t>Consumable</t>
        </is>
      </c>
      <c r="F72" t="inlineStr">
        <is>
          <t>Anand</t>
        </is>
      </c>
      <c r="G72" t="inlineStr">
        <is>
          <t>Buy in US</t>
        </is>
      </c>
      <c r="I72" t="inlineStr">
        <is>
          <t>To be purchased</t>
        </is>
      </c>
    </row>
    <row r="73">
      <c r="A73" t="n">
        <v>86</v>
      </c>
      <c r="B73" t="n">
        <v>12</v>
      </c>
      <c r="C73" s="24" t="inlineStr">
        <is>
          <t>Diffuser - Graco 288196</t>
        </is>
      </c>
      <c r="D73" t="inlineStr">
        <is>
          <t>1</t>
        </is>
      </c>
      <c r="E73" s="25" t="inlineStr">
        <is>
          <t>Consumable</t>
        </is>
      </c>
      <c r="F73" t="inlineStr">
        <is>
          <t>Anand</t>
        </is>
      </c>
      <c r="G73" t="inlineStr">
        <is>
          <t>Buy in US</t>
        </is>
      </c>
      <c r="I73" t="inlineStr">
        <is>
          <t>To be purchased</t>
        </is>
      </c>
    </row>
    <row r="74">
      <c r="A74" t="n">
        <v>87</v>
      </c>
      <c r="B74" t="n">
        <v>12</v>
      </c>
      <c r="C74" s="24" t="inlineStr">
        <is>
          <t>Spring - Compression, Small, Graco 114138</t>
        </is>
      </c>
      <c r="D74" t="inlineStr">
        <is>
          <t>1</t>
        </is>
      </c>
      <c r="E74" s="25" t="inlineStr">
        <is>
          <t>Consumable</t>
        </is>
      </c>
      <c r="F74" t="inlineStr">
        <is>
          <t>Anand</t>
        </is>
      </c>
      <c r="G74" t="inlineStr">
        <is>
          <t>Buy in US</t>
        </is>
      </c>
      <c r="I74" t="inlineStr">
        <is>
          <t>To be purchased</t>
        </is>
      </c>
    </row>
    <row r="75">
      <c r="A75" t="n">
        <v>88</v>
      </c>
      <c r="B75" t="n">
        <v>12</v>
      </c>
      <c r="C75" s="24" t="inlineStr">
        <is>
          <t>Spring - Compression, Large, Graco 114139</t>
        </is>
      </c>
      <c r="D75" t="inlineStr">
        <is>
          <t>1</t>
        </is>
      </c>
      <c r="E75" s="25" t="inlineStr">
        <is>
          <t>Consumable</t>
        </is>
      </c>
      <c r="F75" t="inlineStr">
        <is>
          <t>Anand</t>
        </is>
      </c>
      <c r="G75" t="inlineStr">
        <is>
          <t>Buy in US</t>
        </is>
      </c>
      <c r="I75" t="inlineStr">
        <is>
          <t>To be purchased</t>
        </is>
      </c>
    </row>
    <row r="76">
      <c r="A76" t="n">
        <v>108</v>
      </c>
      <c r="B76" t="n">
        <v>12</v>
      </c>
      <c r="C76" s="24" t="inlineStr">
        <is>
          <t>Needle - Cartridge Assembly, Graco 24B916</t>
        </is>
      </c>
      <c r="D76" t="inlineStr">
        <is>
          <t>1</t>
        </is>
      </c>
      <c r="E76" s="25" t="inlineStr">
        <is>
          <t>Consumable</t>
        </is>
      </c>
      <c r="F76" t="inlineStr">
        <is>
          <t>Anand</t>
        </is>
      </c>
      <c r="G76" t="inlineStr">
        <is>
          <t>Buy in US</t>
        </is>
      </c>
      <c r="I76" t="inlineStr">
        <is>
          <t>To be purchased</t>
        </is>
      </c>
    </row>
    <row r="77">
      <c r="A77" t="n">
        <v>253</v>
      </c>
      <c r="B77" t="n">
        <v>15</v>
      </c>
      <c r="C77" s="24" t="inlineStr">
        <is>
          <t>Spray Tip - Graco LTX327 (0.027 in)</t>
        </is>
      </c>
      <c r="D77" t="inlineStr">
        <is>
          <t>3</t>
        </is>
      </c>
      <c r="E77" s="25" t="inlineStr">
        <is>
          <t>Consumable</t>
        </is>
      </c>
      <c r="F77" t="inlineStr">
        <is>
          <t>Anand</t>
        </is>
      </c>
      <c r="G77" t="inlineStr">
        <is>
          <t>Buy in US</t>
        </is>
      </c>
      <c r="I77" t="inlineStr">
        <is>
          <t>To be purchased</t>
        </is>
      </c>
    </row>
    <row r="78">
      <c r="A78" t="n">
        <v>254</v>
      </c>
      <c r="B78" t="n">
        <v>15</v>
      </c>
      <c r="C78" s="24" t="inlineStr">
        <is>
          <t>Tip Guard - Graco 246215</t>
        </is>
      </c>
      <c r="D78" t="inlineStr">
        <is>
          <t>3</t>
        </is>
      </c>
      <c r="E78" s="25" t="inlineStr">
        <is>
          <t>Consumable</t>
        </is>
      </c>
      <c r="F78" t="inlineStr">
        <is>
          <t>Anand</t>
        </is>
      </c>
      <c r="G78" t="inlineStr">
        <is>
          <t>Buy in US</t>
        </is>
      </c>
      <c r="I78" t="inlineStr">
        <is>
          <t>To be purchased</t>
        </is>
      </c>
    </row>
    <row r="79">
      <c r="A79" t="n">
        <v>414</v>
      </c>
      <c r="B79" t="n">
        <v>18</v>
      </c>
      <c r="C79" s="24" t="inlineStr">
        <is>
          <t>Adhesive - Hot Melt Glue Stick</t>
        </is>
      </c>
      <c r="D79" t="inlineStr">
        <is>
          <t>1</t>
        </is>
      </c>
      <c r="E79" s="25" t="inlineStr">
        <is>
          <t>Consumable</t>
        </is>
      </c>
      <c r="F79" t="inlineStr">
        <is>
          <t>Kaustubh</t>
        </is>
      </c>
      <c r="G79" t="inlineStr">
        <is>
          <t>Buy in US</t>
        </is>
      </c>
      <c r="I79" t="inlineStr">
        <is>
          <t>To be purchased</t>
        </is>
      </c>
    </row>
    <row r="80">
      <c r="A80" t="n">
        <v>415</v>
      </c>
      <c r="B80" t="n">
        <v>18</v>
      </c>
      <c r="C80" s="24" t="inlineStr">
        <is>
          <t>Adhesive - Cyanoacrylate, Metloc 743</t>
        </is>
      </c>
      <c r="D80" t="inlineStr">
        <is>
          <t>5</t>
        </is>
      </c>
      <c r="E80" s="25" t="inlineStr">
        <is>
          <t>Consumable</t>
        </is>
      </c>
      <c r="F80" t="inlineStr">
        <is>
          <t>Kaustubh</t>
        </is>
      </c>
      <c r="G80" t="inlineStr">
        <is>
          <t>Buy in US</t>
        </is>
      </c>
      <c r="I80" t="inlineStr">
        <is>
          <t>To be purchased</t>
        </is>
      </c>
    </row>
    <row r="81">
      <c r="A81" t="n">
        <v>417</v>
      </c>
      <c r="B81" t="n">
        <v>18</v>
      </c>
      <c r="C81" s="24" t="inlineStr">
        <is>
          <t>Adhesive - Epoxy, Araldite</t>
        </is>
      </c>
      <c r="D81" t="inlineStr">
        <is>
          <t>1</t>
        </is>
      </c>
      <c r="E81" s="25" t="inlineStr">
        <is>
          <t>Consumable</t>
        </is>
      </c>
      <c r="F81" t="inlineStr">
        <is>
          <t>Kaustubh</t>
        </is>
      </c>
      <c r="G81" t="inlineStr">
        <is>
          <t>Buy in US</t>
        </is>
      </c>
      <c r="I81" t="inlineStr">
        <is>
          <t>To be purchased</t>
        </is>
      </c>
    </row>
    <row r="82">
      <c r="A82" t="n">
        <v>421</v>
      </c>
      <c r="B82" t="n">
        <v>18</v>
      </c>
      <c r="C82" s="24" t="inlineStr">
        <is>
          <t>Blade - Hacksaw</t>
        </is>
      </c>
      <c r="D82" t="inlineStr">
        <is>
          <t>1</t>
        </is>
      </c>
      <c r="E82" s="25" t="inlineStr">
        <is>
          <t>Consumable</t>
        </is>
      </c>
      <c r="F82" t="inlineStr">
        <is>
          <t>Kaustubh</t>
        </is>
      </c>
      <c r="G82" t="inlineStr">
        <is>
          <t>Buy in US</t>
        </is>
      </c>
      <c r="I82" t="inlineStr">
        <is>
          <t>To be purchased</t>
        </is>
      </c>
    </row>
    <row r="83">
      <c r="A83" t="n">
        <v>424</v>
      </c>
      <c r="B83" t="n">
        <v>18</v>
      </c>
      <c r="C83" s="24" t="inlineStr">
        <is>
          <t>Chemical - Isopropyl Alcohol (IPA)</t>
        </is>
      </c>
      <c r="D83" t="inlineStr">
        <is>
          <t>1</t>
        </is>
      </c>
      <c r="E83" s="25" t="inlineStr">
        <is>
          <t>Consumable</t>
        </is>
      </c>
      <c r="F83" t="inlineStr">
        <is>
          <t>Kaustubh</t>
        </is>
      </c>
      <c r="G83" t="inlineStr">
        <is>
          <t>Buy in US</t>
        </is>
      </c>
      <c r="I83" t="inlineStr">
        <is>
          <t>To be purchased</t>
        </is>
      </c>
    </row>
    <row r="84">
      <c r="A84" t="n">
        <v>425</v>
      </c>
      <c r="B84" t="n">
        <v>18</v>
      </c>
      <c r="C84" s="24" t="inlineStr">
        <is>
          <t>Paint - Spray, General Purpose</t>
        </is>
      </c>
      <c r="D84" t="inlineStr">
        <is>
          <t>2.0</t>
        </is>
      </c>
      <c r="E84" s="25" t="inlineStr">
        <is>
          <t>Consumable</t>
        </is>
      </c>
      <c r="F84" t="inlineStr">
        <is>
          <t>Kaustubh</t>
        </is>
      </c>
      <c r="G84" t="inlineStr">
        <is>
          <t>Buy in US</t>
        </is>
      </c>
      <c r="I84" t="inlineStr">
        <is>
          <t>To be purchased</t>
        </is>
      </c>
    </row>
    <row r="85">
      <c r="A85" t="n">
        <v>426</v>
      </c>
      <c r="B85" t="n">
        <v>18</v>
      </c>
      <c r="C85" s="24" t="inlineStr">
        <is>
          <t>Lubricant - Tapping Oil</t>
        </is>
      </c>
      <c r="D85" t="inlineStr">
        <is>
          <t>1</t>
        </is>
      </c>
      <c r="E85" s="25" t="inlineStr">
        <is>
          <t>Consumable</t>
        </is>
      </c>
      <c r="F85" t="inlineStr">
        <is>
          <t>Kaustubh</t>
        </is>
      </c>
      <c r="G85" t="inlineStr">
        <is>
          <t>Buy in US</t>
        </is>
      </c>
      <c r="I85" t="inlineStr">
        <is>
          <t>To be purchased</t>
        </is>
      </c>
    </row>
    <row r="86">
      <c r="A86" t="n">
        <v>427</v>
      </c>
      <c r="B86" t="n">
        <v>18</v>
      </c>
      <c r="C86" s="24" t="inlineStr">
        <is>
          <t>Lubricant - Cutting Oil</t>
        </is>
      </c>
      <c r="D86" t="inlineStr">
        <is>
          <t>1</t>
        </is>
      </c>
      <c r="E86" s="25" t="inlineStr">
        <is>
          <t>Consumable</t>
        </is>
      </c>
      <c r="F86" t="inlineStr">
        <is>
          <t>Kaustubh</t>
        </is>
      </c>
      <c r="G86" t="inlineStr">
        <is>
          <t>Buy in US</t>
        </is>
      </c>
      <c r="I86" t="inlineStr">
        <is>
          <t>To be purchased</t>
        </is>
      </c>
    </row>
    <row r="87">
      <c r="A87" t="n">
        <v>504</v>
      </c>
      <c r="C87" s="24" t="inlineStr">
        <is>
          <t>Compound Plus 3 - 4.5 gallon bucket</t>
        </is>
      </c>
      <c r="D87" t="inlineStr">
        <is>
          <t>20.0</t>
        </is>
      </c>
      <c r="E87" s="25" t="inlineStr">
        <is>
          <t>Consumable</t>
        </is>
      </c>
      <c r="F87" t="inlineStr">
        <is>
          <t>Mohit</t>
        </is>
      </c>
      <c r="G87" t="inlineStr">
        <is>
          <t>Buy in US</t>
        </is>
      </c>
    </row>
    <row r="88">
      <c r="A88" t="n">
        <v>505</v>
      </c>
      <c r="C88" s="24" t="inlineStr">
        <is>
          <t>No Pock Pro Warner Tools</t>
        </is>
      </c>
      <c r="D88" t="inlineStr">
        <is>
          <t>3.0</t>
        </is>
      </c>
      <c r="E88" s="25" t="inlineStr">
        <is>
          <t>Consumable</t>
        </is>
      </c>
      <c r="F88" t="inlineStr">
        <is>
          <t>Mohit</t>
        </is>
      </c>
      <c r="G88" t="inlineStr">
        <is>
          <t>Buy in US</t>
        </is>
      </c>
    </row>
    <row r="89">
      <c r="A89" t="n">
        <v>506</v>
      </c>
      <c r="C89" s="24" t="inlineStr">
        <is>
          <t>Distilled Water</t>
        </is>
      </c>
      <c r="D89" t="inlineStr">
        <is>
          <t>3.0</t>
        </is>
      </c>
      <c r="E89" s="25" t="inlineStr">
        <is>
          <t>Consumable</t>
        </is>
      </c>
      <c r="F89" t="inlineStr">
        <is>
          <t>Mohit</t>
        </is>
      </c>
      <c r="G89" t="inlineStr">
        <is>
          <t>Buy in US</t>
        </is>
      </c>
    </row>
  </sheetData>
  <autoFilter ref="A4:I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4" customWidth="1" style="22" min="1" max="1"/>
    <col width="42" customWidth="1" style="22" min="2" max="2"/>
    <col width="86" customWidth="1" style="22" min="3" max="3"/>
  </cols>
  <sheetData>
    <row r="1">
      <c r="A1" s="28" t="inlineStr">
        <is>
          <t>Things to fix or confirm in the packing list</t>
        </is>
      </c>
    </row>
    <row r="3">
      <c r="A3" s="23" t="inlineStr">
        <is>
          <t>Row in Sheet1</t>
        </is>
      </c>
      <c r="B3" s="23" t="inlineStr">
        <is>
          <t>Item</t>
        </is>
      </c>
      <c r="C3" s="23" t="inlineStr">
        <is>
          <t>Issue</t>
        </is>
      </c>
    </row>
    <row r="4">
      <c r="A4" t="n">
        <v>134</v>
      </c>
      <c r="B4" s="24" t="inlineStr">
        <is>
          <t>.</t>
        </is>
      </c>
      <c r="C4" s="24" t="inlineStr">
        <is>
          <t>Item name is a single "." with qty 2 - blank line item, needs a real description.</t>
        </is>
      </c>
    </row>
    <row r="5">
      <c r="A5" t="n">
        <v>504</v>
      </c>
      <c r="B5" s="24" t="inlineStr">
        <is>
          <t>Compound Plus 3 - 4.5 gallon bucket</t>
        </is>
      </c>
      <c r="C5" s="24" t="inlineStr">
        <is>
          <t>Consumable with no box number assigned (NYC Site &amp; Facility).</t>
        </is>
      </c>
    </row>
    <row r="6">
      <c r="A6" t="n">
        <v>505</v>
      </c>
      <c r="B6" s="24" t="inlineStr">
        <is>
          <t>No Pock Pro Warner Tools</t>
        </is>
      </c>
      <c r="C6" s="24" t="inlineStr">
        <is>
          <t>Consumable with no box number assigned.</t>
        </is>
      </c>
    </row>
    <row r="7">
      <c r="A7" t="n">
        <v>506</v>
      </c>
      <c r="B7" s="24" t="inlineStr">
        <is>
          <t>Distilled Water</t>
        </is>
      </c>
      <c r="C7" s="24" t="inlineStr">
        <is>
          <t>Consumable with no box number assigned.</t>
        </is>
      </c>
    </row>
    <row r="8">
      <c r="A8" t="n">
        <v>507</v>
      </c>
      <c r="B8" s="24" t="inlineStr">
        <is>
          <t>1litre measuring beaker</t>
        </is>
      </c>
      <c r="C8" s="24" t="inlineStr">
        <is>
          <t>No box number assigned; not a consumable (reusable vessel).</t>
        </is>
      </c>
    </row>
    <row r="9">
      <c r="A9" t="n">
        <v>431</v>
      </c>
      <c r="B9" s="24" t="inlineStr">
        <is>
          <t>Diffuser Sheets</t>
        </is>
      </c>
      <c r="C9" s="24" t="inlineStr">
        <is>
          <t>Filed in Box 18 Consumables but is an optical part. Duplicates row 374 "Sheet - Light Diffuser" in Box 16.</t>
        </is>
      </c>
    </row>
    <row r="10">
      <c r="A10" t="n">
        <v>483</v>
      </c>
      <c r="B10" s="24" t="inlineStr">
        <is>
          <t>Threadlocker - Loctite 243</t>
        </is>
      </c>
      <c r="C10" s="24" t="inlineStr">
        <is>
          <t>Consumable chemical held in Box 2 Bringup Kit, separate from the Box 18 threadlocker (Loctite 271, row 418).</t>
        </is>
      </c>
    </row>
    <row r="11">
      <c r="A11" t="n">
        <v>457</v>
      </c>
      <c r="B11" s="24" t="inlineStr">
        <is>
          <t>Knife Blades</t>
        </is>
      </c>
      <c r="C11" s="24" t="inlineStr">
        <is>
          <t>Consumable blades filed under Box 2 Hand Tools, not Box 18 Abrasives &amp; Blades.</t>
        </is>
      </c>
    </row>
    <row r="12">
      <c r="A12" t="n">
        <v>389</v>
      </c>
      <c r="B12" s="24" t="inlineStr">
        <is>
          <t>Caulking Gun Nozzle</t>
        </is>
      </c>
      <c r="C12" s="24" t="inlineStr">
        <is>
          <t>Consumable nozzle filed under Box 17 Hand Tools.</t>
        </is>
      </c>
    </row>
    <row r="13">
      <c r="A13" t="n">
        <v>203</v>
      </c>
      <c r="B13" s="24" t="inlineStr">
        <is>
          <t>Battery - Li-SOCl2 AA ER14505 (Spare)</t>
        </is>
      </c>
      <c r="C13" s="24" t="inlineStr">
        <is>
          <t>Duplicate of row 472, same part, both Box 2. Confirm whether 4 or 8 cells ship.</t>
        </is>
      </c>
    </row>
    <row r="14">
      <c r="A14" t="n">
        <v>471</v>
      </c>
      <c r="B14" s="24" t="inlineStr">
        <is>
          <t>SSD - External SanDisk 4 TB</t>
        </is>
      </c>
      <c r="C14" s="24" t="inlineStr">
        <is>
          <t>Duplicate of row 487 (Box 9). Confirm quantity.</t>
        </is>
      </c>
    </row>
    <row r="15">
      <c r="A15" t="n">
        <v>180</v>
      </c>
      <c r="B15" s="24" t="inlineStr">
        <is>
          <t>Cable - USB C to USB C</t>
        </is>
      </c>
      <c r="C15" s="24" t="inlineStr">
        <is>
          <t>Duplicate of row 126. Confirm quantity.</t>
        </is>
      </c>
    </row>
    <row r="16">
      <c r="A16" t="n">
        <v>422</v>
      </c>
      <c r="B16" s="24" t="inlineStr">
        <is>
          <t>Abrasive - Mirka Abranet Disc</t>
        </is>
      </c>
      <c r="C16" s="24" t="inlineStr">
        <is>
          <t>Qty blank - a high-turnover consumable with no quantity set.</t>
        </is>
      </c>
    </row>
    <row r="17">
      <c r="A17" t="n">
        <v>433</v>
      </c>
      <c r="B17" s="24" t="inlineStr">
        <is>
          <t>Dust Bag - Mirka 8999000211</t>
        </is>
      </c>
      <c r="C17" s="24" t="inlineStr">
        <is>
          <t>Qty blank - consumable with no quantity set.</t>
        </is>
      </c>
    </row>
    <row r="18">
      <c r="A18" t="n">
        <v>456</v>
      </c>
      <c r="B18" s="24" t="inlineStr">
        <is>
          <t>Storage Box - IKEA Stackable</t>
        </is>
      </c>
      <c r="C18" s="24" t="inlineStr">
        <is>
          <t>Qty is "TBD".</t>
        </is>
      </c>
    </row>
    <row r="19">
      <c r="A19" t="n">
        <v>460</v>
      </c>
      <c r="B19" s="24" t="inlineStr">
        <is>
          <t>Calibration Target - 2D Lidar</t>
        </is>
      </c>
      <c r="C19" s="24" t="inlineStr">
        <is>
          <t>Qty is "TBD".</t>
        </is>
      </c>
    </row>
    <row r="20">
      <c r="A20" t="n">
        <v>358</v>
      </c>
      <c r="B20" s="24" t="inlineStr">
        <is>
          <t>Mount - Drag Chain, Front</t>
        </is>
      </c>
      <c r="C20" s="24" t="inlineStr">
        <is>
          <t>Qty blank.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4" customWidth="1" style="22" min="1" max="1"/>
    <col width="48" customWidth="1" style="22" min="2" max="2"/>
    <col width="80" customWidth="1" style="22" min="3" max="3"/>
  </cols>
  <sheetData>
    <row r="1">
      <c r="A1" s="28" t="inlineStr">
        <is>
          <t>Consumables that are regulated for air / ocean freight</t>
        </is>
      </c>
    </row>
    <row r="2">
      <c r="A2" s="31" t="inlineStr">
        <is>
          <t>Flagged from item descriptions only - confirm each against the supplier SDS and your forwarder before booking.</t>
        </is>
      </c>
    </row>
    <row r="4">
      <c r="A4" s="23" t="inlineStr">
        <is>
          <t>Row in Sheet1</t>
        </is>
      </c>
      <c r="B4" s="23" t="inlineStr">
        <is>
          <t>Item</t>
        </is>
      </c>
      <c r="C4" s="23" t="inlineStr">
        <is>
          <t>Why it is regulated</t>
        </is>
      </c>
    </row>
    <row r="5">
      <c r="A5" t="n">
        <v>424</v>
      </c>
      <c r="B5" t="inlineStr">
        <is>
          <t>Chemical - Isopropyl Alcohol (IPA)</t>
        </is>
      </c>
      <c r="C5" s="24" t="inlineStr">
        <is>
          <t>Flammable liquid, UN1219 class 3.</t>
        </is>
      </c>
    </row>
    <row r="6">
      <c r="A6" t="n">
        <v>425</v>
      </c>
      <c r="B6" t="inlineStr">
        <is>
          <t>Paint - Spray, General Purpose (qty 2)</t>
        </is>
      </c>
      <c r="C6" s="24" t="inlineStr">
        <is>
          <t>Aerosol, class 2.1.</t>
        </is>
      </c>
    </row>
    <row r="7">
      <c r="A7" t="n">
        <v>452</v>
      </c>
      <c r="B7" t="inlineStr">
        <is>
          <t>Paint - Spray, Matt Black (qty 2)</t>
        </is>
      </c>
      <c r="C7" s="24" t="inlineStr">
        <is>
          <t>Aerosol, class 2.1.</t>
        </is>
      </c>
    </row>
    <row r="8">
      <c r="A8" t="n">
        <v>453</v>
      </c>
      <c r="B8" t="inlineStr">
        <is>
          <t>Paint - Spray, Red (qty 2)</t>
        </is>
      </c>
      <c r="C8" s="24" t="inlineStr">
        <is>
          <t>Aerosol, class 2.1.</t>
        </is>
      </c>
    </row>
    <row r="9">
      <c r="A9" t="n">
        <v>415</v>
      </c>
      <c r="B9" t="inlineStr">
        <is>
          <t>Adhesive - Cyanoacrylate, Metloc 743</t>
        </is>
      </c>
      <c r="C9" s="24" t="inlineStr">
        <is>
          <t>Adhesive - check SDS, often restricted by quantity.</t>
        </is>
      </c>
    </row>
    <row r="10">
      <c r="A10" t="n">
        <v>413</v>
      </c>
      <c r="B10" t="inlineStr">
        <is>
          <t>Sealant - Polyurethane, Sika Sikaflex-221</t>
        </is>
      </c>
      <c r="C10" s="24" t="inlineStr">
        <is>
          <t>Adhesive/sealant - check SDS.</t>
        </is>
      </c>
    </row>
    <row r="11">
      <c r="A11" t="n">
        <v>417</v>
      </c>
      <c r="B11" t="inlineStr">
        <is>
          <t>Adhesive - Epoxy, Araldite</t>
        </is>
      </c>
      <c r="C11" s="24" t="inlineStr">
        <is>
          <t>Resin/hardener - check SDS.</t>
        </is>
      </c>
    </row>
    <row r="12">
      <c r="A12" t="n">
        <v>418</v>
      </c>
      <c r="B12" t="inlineStr">
        <is>
          <t>Threadlocker - Loctite 271, 250 ml</t>
        </is>
      </c>
      <c r="C12" s="24" t="inlineStr">
        <is>
          <t>Anaerobic adhesive - check SDS.</t>
        </is>
      </c>
    </row>
    <row r="13">
      <c r="A13" t="n">
        <v>483</v>
      </c>
      <c r="B13" t="inlineStr">
        <is>
          <t>Threadlocker - Loctite 243</t>
        </is>
      </c>
      <c r="C13" s="24" t="inlineStr">
        <is>
          <t>Anaerobic adhesive - check SDS.</t>
        </is>
      </c>
    </row>
    <row r="14">
      <c r="A14" t="n">
        <v>426</v>
      </c>
      <c r="B14" t="inlineStr">
        <is>
          <t>Lubricant - Tapping Oil</t>
        </is>
      </c>
      <c r="C14" s="24" t="inlineStr">
        <is>
          <t>Oil - check flash point on SDS.</t>
        </is>
      </c>
    </row>
    <row r="15">
      <c r="A15" t="n">
        <v>427</v>
      </c>
      <c r="B15" t="inlineStr">
        <is>
          <t>Lubricant - Cutting Oil</t>
        </is>
      </c>
      <c r="C15" s="24" t="inlineStr">
        <is>
          <t>Oil - check flash point on SDS.</t>
        </is>
      </c>
    </row>
    <row r="16">
      <c r="A16" t="n">
        <v>203</v>
      </c>
      <c r="B16" t="inlineStr">
        <is>
          <t>Battery - Li-SOCl2 AA, ER14505 (spare)</t>
        </is>
      </c>
      <c r="C16" s="24" t="inlineStr">
        <is>
          <t>Lithium metal cell, UN3090/3091 - shipping paperwork required.</t>
        </is>
      </c>
    </row>
    <row r="17">
      <c r="A17" t="n">
        <v>472</v>
      </c>
      <c r="B17" t="inlineStr">
        <is>
          <t>Battery - Li-SOCl2 AA, ER14505</t>
        </is>
      </c>
      <c r="C17" s="24" t="inlineStr">
        <is>
          <t>Lithium metal cell, UN3090/3091 - shipping paperwork required.</t>
        </is>
      </c>
    </row>
    <row r="18">
      <c r="A18" t="n">
        <v>19</v>
      </c>
      <c r="B18" t="inlineStr">
        <is>
          <t>Power Bank - 25000 mAh 100 W (qty 2)</t>
        </is>
      </c>
      <c r="C18" s="24" t="inlineStr">
        <is>
          <t>Lithium-ion ~92.5 Wh each - passenger baggage only, never freight. Sheet1 already notes "Luggage Item".</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V507"/>
  <sheetViews>
    <sheetView workbookViewId="0">
      <selection activeCell="A1" sqref="A1"/>
    </sheetView>
  </sheetViews>
  <sheetFormatPr baseColWidth="8" defaultColWidth="12.63" defaultRowHeight="15.75" customHeight="1"/>
  <sheetData>
    <row r="1">
      <c r="A1" s="1" t="inlineStr">
        <is>
          <t>Power &amp; Switching</t>
        </is>
      </c>
      <c r="B1" s="2" t="inlineStr">
        <is>
          <t>Fuse - ANM 250 A / 70 V (ANM70V-250A) - robot main</t>
        </is>
      </c>
      <c r="C1" s="2" t="inlineStr">
        <is>
          <t>10-A Fuses</t>
        </is>
      </c>
      <c r="D1" s="1" t="inlineStr">
        <is>
          <t>Badri</t>
        </is>
      </c>
      <c r="E1" s="1" t="inlineStr">
        <is>
          <t>3</t>
        </is>
      </c>
      <c r="F1" s="1" t="inlineStr">
        <is>
          <t>India</t>
        </is>
      </c>
      <c r="G1" s="1" t="n"/>
      <c r="H1" s="1" t="inlineStr">
        <is>
          <t>No</t>
        </is>
      </c>
      <c r="I1" s="1" t="n"/>
      <c r="J1" s="1" t="n"/>
      <c r="K1" s="1" t="inlineStr">
        <is>
          <t>In stock</t>
        </is>
      </c>
      <c r="L1" s="3" t="n">
        <v>10</v>
      </c>
      <c r="M1" s="4" t="b">
        <v>0</v>
      </c>
      <c r="N1" s="3" t="n">
        <v>5</v>
      </c>
      <c r="O1" s="1" t="n"/>
      <c r="P1" s="1" t="n"/>
      <c r="Q1" s="1" t="n"/>
      <c r="R1" s="1" t="n"/>
      <c r="S1" s="1" t="inlineStr">
        <is>
          <t>Mobile (travels with robot)</t>
        </is>
      </c>
      <c r="T1" s="1" t="n"/>
      <c r="U1" s="3" t="n">
        <v>40</v>
      </c>
      <c r="V1" s="1">
        <f>IF($K1="To be purchased",COUNTIF($K1:$K$2,"To be purchased"),"")</f>
        <v/>
      </c>
    </row>
    <row r="2">
      <c r="A2" s="1" t="inlineStr">
        <is>
          <t>Power &amp; Switching</t>
        </is>
      </c>
      <c r="B2" s="2" t="inlineStr">
        <is>
          <t>Fuse - ATN 20 A - travel motor, UR Controller, Planner Actuation, Planner Logic Buck</t>
        </is>
      </c>
      <c r="C2" s="2" t="inlineStr">
        <is>
          <t>10-A Fuses</t>
        </is>
      </c>
      <c r="D2" s="1" t="inlineStr">
        <is>
          <t>Badri</t>
        </is>
      </c>
      <c r="E2" s="1" t="n">
        <v>10</v>
      </c>
      <c r="F2" s="1" t="inlineStr">
        <is>
          <t>India</t>
        </is>
      </c>
      <c r="G2" s="1" t="n"/>
      <c r="H2" s="1" t="inlineStr">
        <is>
          <t>No</t>
        </is>
      </c>
      <c r="I2" s="1" t="n"/>
      <c r="J2" s="1" t="n"/>
      <c r="K2" s="1" t="inlineStr">
        <is>
          <t>In stock</t>
        </is>
      </c>
      <c r="L2" s="3" t="n">
        <v>10</v>
      </c>
      <c r="M2" s="4" t="b">
        <v>0</v>
      </c>
      <c r="N2" s="3" t="n">
        <v>5</v>
      </c>
      <c r="O2" s="1" t="n"/>
      <c r="P2" s="1" t="n"/>
      <c r="Q2" s="1" t="n"/>
      <c r="R2" s="1" t="n"/>
      <c r="S2" s="1" t="inlineStr">
        <is>
          <t>Mobile (travels with robot)</t>
        </is>
      </c>
      <c r="T2" s="1" t="n"/>
      <c r="U2" s="3" t="n">
        <v>56</v>
      </c>
      <c r="V2" s="1">
        <f>IF($K2="To be purchased",COUNTIF($K2:$K$2,"To be purchased"),"")</f>
        <v/>
      </c>
    </row>
    <row r="3">
      <c r="A3" s="1" t="inlineStr">
        <is>
          <t>Power &amp; Switching</t>
        </is>
      </c>
      <c r="B3" s="2" t="inlineStr">
        <is>
          <t>Fuse - ATN 10 A - steering motor</t>
        </is>
      </c>
      <c r="C3" s="2" t="inlineStr">
        <is>
          <t>10-A Fuses</t>
        </is>
      </c>
      <c r="D3" s="1" t="inlineStr">
        <is>
          <t>Badri</t>
        </is>
      </c>
      <c r="E3" s="1" t="inlineStr">
        <is>
          <t>6</t>
        </is>
      </c>
      <c r="F3" s="1" t="inlineStr">
        <is>
          <t>India</t>
        </is>
      </c>
      <c r="G3" s="1" t="n"/>
      <c r="H3" s="1" t="inlineStr">
        <is>
          <t>No</t>
        </is>
      </c>
      <c r="I3" s="1" t="n"/>
      <c r="J3" s="1" t="n"/>
      <c r="K3" s="1" t="inlineStr">
        <is>
          <t>In stock</t>
        </is>
      </c>
      <c r="L3" s="3" t="n">
        <v>10</v>
      </c>
      <c r="M3" s="4" t="b">
        <v>0</v>
      </c>
      <c r="N3" s="3" t="n">
        <v>5</v>
      </c>
      <c r="O3" s="1" t="n"/>
      <c r="P3" s="1" t="n"/>
      <c r="Q3" s="1" t="n"/>
      <c r="R3" s="1" t="n"/>
      <c r="S3" s="1" t="inlineStr">
        <is>
          <t>Mobile (travels with robot)</t>
        </is>
      </c>
      <c r="T3" s="1" t="n"/>
      <c r="U3" s="3" t="n">
        <v>57</v>
      </c>
      <c r="V3" s="1">
        <f>IF($K3="To be purchased",COUNTIF($K3:$K$2,"To be purchased"),"")</f>
        <v/>
      </c>
    </row>
    <row r="4">
      <c r="A4" s="1" t="inlineStr">
        <is>
          <t>Power &amp; Switching</t>
        </is>
      </c>
      <c r="B4" s="2" t="inlineStr">
        <is>
          <t>Fuse - ATM 40 A - lift kit</t>
        </is>
      </c>
      <c r="C4" s="2" t="inlineStr">
        <is>
          <t>10-A Fuses</t>
        </is>
      </c>
      <c r="D4" s="1" t="inlineStr">
        <is>
          <t>Badri</t>
        </is>
      </c>
      <c r="E4" s="1" t="inlineStr">
        <is>
          <t>2</t>
        </is>
      </c>
      <c r="F4" s="1" t="inlineStr">
        <is>
          <t>India</t>
        </is>
      </c>
      <c r="G4" s="1" t="n"/>
      <c r="H4" s="1" t="inlineStr">
        <is>
          <t>No</t>
        </is>
      </c>
      <c r="I4" s="1" t="n"/>
      <c r="J4" s="1" t="n"/>
      <c r="K4" s="1" t="inlineStr">
        <is>
          <t>In stock</t>
        </is>
      </c>
      <c r="L4" s="3" t="n">
        <v>10</v>
      </c>
      <c r="M4" s="4" t="b">
        <v>0</v>
      </c>
      <c r="N4" s="3" t="n">
        <v>5</v>
      </c>
      <c r="O4" s="1" t="n"/>
      <c r="P4" s="1" t="n"/>
      <c r="Q4" s="1" t="n"/>
      <c r="R4" s="1" t="n"/>
      <c r="S4" s="1" t="inlineStr">
        <is>
          <t>Mobile (travels with robot)</t>
        </is>
      </c>
      <c r="T4" s="1" t="n"/>
      <c r="U4" s="3" t="n">
        <v>60</v>
      </c>
      <c r="V4" s="1">
        <f>IF($K4="To be purchased",COUNTIF($K4:$K$2,"To be purchased"),"")</f>
        <v/>
      </c>
    </row>
    <row r="5">
      <c r="A5" s="1" t="inlineStr">
        <is>
          <t>Power &amp; Switching</t>
        </is>
      </c>
      <c r="B5" s="2" t="inlineStr">
        <is>
          <t>Fuse - ATN 15 A - control logic buck</t>
        </is>
      </c>
      <c r="C5" s="2" t="inlineStr">
        <is>
          <t>10-A Fuses</t>
        </is>
      </c>
      <c r="D5" s="1" t="inlineStr">
        <is>
          <t>Badri</t>
        </is>
      </c>
      <c r="E5" s="1" t="inlineStr">
        <is>
          <t>2</t>
        </is>
      </c>
      <c r="F5" s="1" t="inlineStr">
        <is>
          <t>India</t>
        </is>
      </c>
      <c r="G5" s="1" t="n"/>
      <c r="H5" s="1" t="inlineStr">
        <is>
          <t>No</t>
        </is>
      </c>
      <c r="I5" s="1" t="n"/>
      <c r="J5" s="1" t="n"/>
      <c r="K5" s="1" t="inlineStr">
        <is>
          <t>In stock</t>
        </is>
      </c>
      <c r="L5" s="3" t="n">
        <v>10</v>
      </c>
      <c r="M5" s="4" t="b">
        <v>0</v>
      </c>
      <c r="N5" s="3" t="n">
        <v>5</v>
      </c>
      <c r="O5" s="1" t="n"/>
      <c r="P5" s="1" t="n"/>
      <c r="Q5" s="1" t="n"/>
      <c r="R5" s="1" t="n"/>
      <c r="S5" s="1" t="inlineStr">
        <is>
          <t>NY Stationary (stays in NY inventory)</t>
        </is>
      </c>
      <c r="T5" s="1" t="n"/>
      <c r="U5" s="3" t="n">
        <v>76</v>
      </c>
      <c r="V5" s="1">
        <f>IF($K5="To be purchased",COUNTIF($K5:$K$2,"To be purchased"),"")</f>
        <v/>
      </c>
    </row>
    <row r="6">
      <c r="A6" s="1" t="inlineStr">
        <is>
          <t>Power &amp; Switching</t>
        </is>
      </c>
      <c r="B6" s="2" t="inlineStr">
        <is>
          <t>Fuse - ANM 125 A / 70 V (ANM70V-125A) - OST main</t>
        </is>
      </c>
      <c r="C6" s="2" t="inlineStr">
        <is>
          <t>10-A Fuses</t>
        </is>
      </c>
      <c r="D6" s="1" t="inlineStr">
        <is>
          <t>Badri</t>
        </is>
      </c>
      <c r="E6" s="1" t="inlineStr">
        <is>
          <t>2</t>
        </is>
      </c>
      <c r="F6" s="1" t="inlineStr">
        <is>
          <t>India</t>
        </is>
      </c>
      <c r="G6" s="1" t="n"/>
      <c r="H6" s="1" t="inlineStr">
        <is>
          <t>No</t>
        </is>
      </c>
      <c r="I6" s="1" t="n"/>
      <c r="J6" s="1" t="n"/>
      <c r="K6" s="1" t="inlineStr">
        <is>
          <t>In stock</t>
        </is>
      </c>
      <c r="L6" s="3" t="n">
        <v>10</v>
      </c>
      <c r="M6" s="4" t="b">
        <v>0</v>
      </c>
      <c r="N6" s="3" t="n">
        <v>5</v>
      </c>
      <c r="O6" s="1" t="n"/>
      <c r="P6" s="1" t="n"/>
      <c r="Q6" s="1" t="n"/>
      <c r="R6" s="1" t="n"/>
      <c r="S6" s="1" t="inlineStr">
        <is>
          <t>Mobile (travels with robot)</t>
        </is>
      </c>
      <c r="T6" s="1" t="n"/>
      <c r="U6" s="3" t="n">
        <v>120</v>
      </c>
      <c r="V6" s="1">
        <f>IF($K6="To be purchased",COUNTIF($K6:$K$2,"To be purchased"),"")</f>
        <v/>
      </c>
    </row>
    <row r="7">
      <c r="A7" s="1" t="inlineStr">
        <is>
          <t>Power &amp; Switching</t>
        </is>
      </c>
      <c r="B7" s="2" t="inlineStr">
        <is>
          <t>Fuse - Blade Mini 5 A - OST logic, TS sander actuation SMPS, TS sprayer actuation SMPS</t>
        </is>
      </c>
      <c r="C7" s="2" t="inlineStr">
        <is>
          <t>10-A Fuses</t>
        </is>
      </c>
      <c r="D7" s="1" t="inlineStr">
        <is>
          <t>Badri</t>
        </is>
      </c>
      <c r="E7" s="1" t="n">
        <v>5</v>
      </c>
      <c r="F7" s="1" t="inlineStr">
        <is>
          <t>India</t>
        </is>
      </c>
      <c r="G7" s="1" t="n"/>
      <c r="H7" s="1" t="inlineStr">
        <is>
          <t>No</t>
        </is>
      </c>
      <c r="I7" s="1" t="n"/>
      <c r="J7" s="1" t="n"/>
      <c r="K7" s="1" t="inlineStr">
        <is>
          <t>In stock</t>
        </is>
      </c>
      <c r="L7" s="3" t="n">
        <v>10</v>
      </c>
      <c r="M7" s="4" t="b">
        <v>0</v>
      </c>
      <c r="N7" s="3" t="n">
        <v>5</v>
      </c>
      <c r="O7" s="1" t="n"/>
      <c r="P7" s="1" t="n"/>
      <c r="Q7" s="1" t="n"/>
      <c r="R7" s="1" t="n"/>
      <c r="S7" s="1" t="inlineStr">
        <is>
          <t>Mobile (travels with robot)</t>
        </is>
      </c>
      <c r="T7" s="1" t="n"/>
      <c r="U7" s="3" t="n">
        <v>123</v>
      </c>
      <c r="V7" s="1">
        <f>IF($K7="To be purchased",COUNTIF($K7:$K$2,"To be purchased"),"")</f>
        <v/>
      </c>
    </row>
    <row r="8">
      <c r="A8" s="1" t="inlineStr">
        <is>
          <t>Power &amp; Switching</t>
        </is>
      </c>
      <c r="B8" s="2" t="inlineStr">
        <is>
          <t>SPD - Surge Protection Device, VAL-SEC-T2-2+0-48DC-FM</t>
        </is>
      </c>
      <c r="C8" s="2" t="inlineStr">
        <is>
          <t>10-B Circuit Protection &amp; IMD</t>
        </is>
      </c>
      <c r="D8" s="1" t="inlineStr">
        <is>
          <t>Badri</t>
        </is>
      </c>
      <c r="E8" s="1" t="inlineStr">
        <is>
          <t>1</t>
        </is>
      </c>
      <c r="F8" s="1" t="inlineStr">
        <is>
          <t>India</t>
        </is>
      </c>
      <c r="G8" s="1" t="n"/>
      <c r="H8" s="1" t="inlineStr">
        <is>
          <t>Yes</t>
        </is>
      </c>
      <c r="I8" s="5" t="n"/>
      <c r="J8" s="6">
        <f>IFERROR(HYPERLINK("https://docs.google.com/spreadsheets/d/10M8oEMfSST-xuPwcSARfQDNcQJ0xrCp8O9iHBGPAr34/edit?gid=1956219685&amp;range=A"&amp;MATCH("PR-2026-1679",'PR Lookup'!A:A,0),"PR-2026-1679"),"PR-2026-1679")</f>
        <v/>
      </c>
      <c r="K8" s="1" t="inlineStr">
        <is>
          <t>IQC Stage</t>
        </is>
      </c>
      <c r="L8" s="3" t="n">
        <v>10</v>
      </c>
      <c r="M8" s="4" t="b">
        <v>0</v>
      </c>
      <c r="N8" s="3" t="n">
        <v>5</v>
      </c>
      <c r="O8" s="1" t="n"/>
      <c r="P8" s="1" t="n"/>
      <c r="Q8" s="1" t="n"/>
      <c r="R8" s="1" t="n"/>
      <c r="S8" s="1" t="inlineStr">
        <is>
          <t>NY Stationary (stays in NY inventory)</t>
        </is>
      </c>
      <c r="T8" s="1" t="n"/>
      <c r="U8" s="3" t="n">
        <v>45</v>
      </c>
      <c r="V8" s="1">
        <f>IF($K8="To be purchased",COUNTIF($K8:$K$2,"To be purchased"),"")</f>
        <v/>
      </c>
    </row>
    <row r="9">
      <c r="A9" s="1" t="inlineStr">
        <is>
          <t>Power &amp; Switching</t>
        </is>
      </c>
      <c r="B9" s="2" t="inlineStr">
        <is>
          <t>IMD - AC Insulation Monitoring, ABB CM-IWS.1</t>
        </is>
      </c>
      <c r="C9" s="2" t="inlineStr">
        <is>
          <t>10-B Circuit Protection &amp; IMD</t>
        </is>
      </c>
      <c r="D9" s="1" t="inlineStr">
        <is>
          <t>Badri</t>
        </is>
      </c>
      <c r="E9" s="1" t="inlineStr">
        <is>
          <t>1</t>
        </is>
      </c>
      <c r="F9" s="1" t="inlineStr">
        <is>
          <t>India</t>
        </is>
      </c>
      <c r="G9" s="1" t="n"/>
      <c r="H9" s="1" t="inlineStr">
        <is>
          <t>Yes</t>
        </is>
      </c>
      <c r="I9" s="5" t="n"/>
      <c r="J9" s="6">
        <f>IFERROR(HYPERLINK("https://docs.google.com/spreadsheets/d/10M8oEMfSST-xuPwcSARfQDNcQJ0xrCp8O9iHBGPAr34/edit?gid=1956219685&amp;range=A"&amp;MATCH("PR-2026-1680",'PR Lookup'!A:A,0),"PR-2026-1680"),"PR-2026-1680")</f>
        <v/>
      </c>
      <c r="K9" s="1" t="inlineStr">
        <is>
          <t>IQC Stage</t>
        </is>
      </c>
      <c r="L9" s="3" t="n">
        <v>10</v>
      </c>
      <c r="M9" s="4" t="b">
        <v>0</v>
      </c>
      <c r="N9" s="3" t="n">
        <v>5</v>
      </c>
      <c r="O9" s="1" t="n"/>
      <c r="P9" s="1" t="n"/>
      <c r="Q9" s="1" t="n"/>
      <c r="R9" s="1" t="n"/>
      <c r="S9" s="1" t="inlineStr">
        <is>
          <t>Mobile (travels with robot)</t>
        </is>
      </c>
      <c r="T9" s="1" t="n"/>
      <c r="U9" s="3" t="n">
        <v>55</v>
      </c>
      <c r="V9" s="1">
        <f>IF($K9="To be purchased",COUNTIF($K9:$K$2,"To be purchased"),"")</f>
        <v/>
      </c>
    </row>
    <row r="10">
      <c r="A10" s="1" t="inlineStr">
        <is>
          <t>Power &amp; Switching</t>
        </is>
      </c>
      <c r="B10" s="2" t="inlineStr">
        <is>
          <t>SSR - SSR-50DD - planner logic</t>
        </is>
      </c>
      <c r="C10" s="2" t="inlineStr">
        <is>
          <t>10-C Contactors &amp; SSRs</t>
        </is>
      </c>
      <c r="D10" s="1" t="inlineStr">
        <is>
          <t>Badri</t>
        </is>
      </c>
      <c r="E10" s="1" t="inlineStr">
        <is>
          <t>1</t>
        </is>
      </c>
      <c r="F10" s="1" t="inlineStr">
        <is>
          <t>India</t>
        </is>
      </c>
      <c r="G10" s="1" t="n"/>
      <c r="H10" s="1" t="inlineStr">
        <is>
          <t>No</t>
        </is>
      </c>
      <c r="I10" s="1" t="n"/>
      <c r="J10" s="1" t="n"/>
      <c r="K10" s="1" t="inlineStr">
        <is>
          <t>In stock</t>
        </is>
      </c>
      <c r="L10" s="3" t="n">
        <v>10</v>
      </c>
      <c r="M10" s="4" t="b">
        <v>0</v>
      </c>
      <c r="N10" s="3" t="n">
        <v>5</v>
      </c>
      <c r="O10" s="1" t="n"/>
      <c r="P10" s="1" t="n"/>
      <c r="Q10" s="1" t="n"/>
      <c r="R10" s="1" t="n"/>
      <c r="S10" s="1" t="inlineStr">
        <is>
          <t>Mobile (travels with robot)</t>
        </is>
      </c>
      <c r="T10" s="1" t="n"/>
      <c r="U10" s="3" t="n">
        <v>78</v>
      </c>
      <c r="V10" s="1">
        <f>IF($K10="To be purchased",COUNTIF($K10:$K$2,"To be purchased"),"")</f>
        <v/>
      </c>
    </row>
    <row r="11">
      <c r="A11" s="1" t="inlineStr">
        <is>
          <t>Power &amp; Switching</t>
        </is>
      </c>
      <c r="B11" s="2" t="inlineStr">
        <is>
          <t>SSR - SSR-10DD - OST safety</t>
        </is>
      </c>
      <c r="C11" s="2" t="inlineStr">
        <is>
          <t>10-C Contactors &amp; SSRs</t>
        </is>
      </c>
      <c r="D11" s="1" t="inlineStr">
        <is>
          <t>Badri</t>
        </is>
      </c>
      <c r="E11" s="1" t="inlineStr">
        <is>
          <t>1</t>
        </is>
      </c>
      <c r="F11" s="1" t="inlineStr">
        <is>
          <t>India</t>
        </is>
      </c>
      <c r="G11" s="1" t="n"/>
      <c r="H11" s="1" t="inlineStr">
        <is>
          <t>No</t>
        </is>
      </c>
      <c r="I11" s="1" t="n"/>
      <c r="J11" s="1" t="n"/>
      <c r="K11" s="1" t="inlineStr">
        <is>
          <t>In stock</t>
        </is>
      </c>
      <c r="L11" s="3" t="n">
        <v>10</v>
      </c>
      <c r="M11" s="4" t="b">
        <v>0</v>
      </c>
      <c r="N11" s="3" t="n">
        <v>5</v>
      </c>
      <c r="O11" s="1" t="n"/>
      <c r="P11" s="1" t="n"/>
      <c r="Q11" s="1" t="n"/>
      <c r="R11" s="1" t="n"/>
      <c r="S11" s="1" t="inlineStr">
        <is>
          <t>NY Stationary (stays in NY inventory)</t>
        </is>
      </c>
      <c r="T11" s="1" t="n"/>
      <c r="U11" s="3" t="n">
        <v>125</v>
      </c>
      <c r="V11" s="1">
        <f>IF($K11="To be purchased",COUNTIF($K11:$K$2,"To be purchased"),"")</f>
        <v/>
      </c>
    </row>
    <row r="12">
      <c r="A12" s="1" t="inlineStr">
        <is>
          <t>Power &amp; Switching</t>
        </is>
      </c>
      <c r="B12" s="2" t="inlineStr">
        <is>
          <t>Inverter - NTN-5K-248 CAN</t>
        </is>
      </c>
      <c r="C12" s="2" t="inlineStr">
        <is>
          <t>10-D Power Supplies &amp; Converters</t>
        </is>
      </c>
      <c r="D12" s="1" t="inlineStr">
        <is>
          <t>Badri</t>
        </is>
      </c>
      <c r="E12" s="1" t="inlineStr">
        <is>
          <t>1</t>
        </is>
      </c>
      <c r="F12" s="1" t="inlineStr">
        <is>
          <t>India</t>
        </is>
      </c>
      <c r="G12" s="1" t="n"/>
      <c r="H12" s="1" t="inlineStr">
        <is>
          <t>Yes</t>
        </is>
      </c>
      <c r="I12" s="5" t="n"/>
      <c r="J12" s="6">
        <f>IFERROR(HYPERLINK("https://docs.google.com/spreadsheets/d/10M8oEMfSST-xuPwcSARfQDNcQJ0xrCp8O9iHBGPAr34/edit?gid=1956219685&amp;range=A"&amp;MATCH("PR-2026-1681",'PR Lookup'!A:A,0),"PR-2026-1681"),"PR-2026-1681")</f>
        <v/>
      </c>
      <c r="K12" s="1" t="inlineStr">
        <is>
          <t>IQC Stage</t>
        </is>
      </c>
      <c r="L12" s="3" t="n">
        <v>10</v>
      </c>
      <c r="M12" s="4" t="b">
        <v>0</v>
      </c>
      <c r="N12" s="3" t="n">
        <v>5</v>
      </c>
      <c r="O12" s="1" t="n"/>
      <c r="P12" s="1" t="n"/>
      <c r="Q12" s="1" t="n"/>
      <c r="R12" s="1" t="n"/>
      <c r="S12" s="1" t="inlineStr">
        <is>
          <t>NY Stationary (stays in NY inventory)</t>
        </is>
      </c>
      <c r="T12" s="1" t="n"/>
      <c r="U12" s="3" t="n">
        <v>50</v>
      </c>
      <c r="V12" s="1">
        <f>IF($K12="To be purchased",COUNTIF($K12:$K$2,"To be purchased"),"")</f>
        <v/>
      </c>
    </row>
    <row r="13">
      <c r="A13" s="1" t="inlineStr">
        <is>
          <t>Power &amp; Switching</t>
        </is>
      </c>
      <c r="B13" s="2" t="inlineStr">
        <is>
          <t>Buck Converter - DDR-240C-24 - control logic</t>
        </is>
      </c>
      <c r="C13" s="2" t="inlineStr">
        <is>
          <t>10-D Power Supplies &amp; Converters</t>
        </is>
      </c>
      <c r="D13" s="1" t="inlineStr">
        <is>
          <t>Badri</t>
        </is>
      </c>
      <c r="E13" s="7" t="inlineStr">
        <is>
          <t>1</t>
        </is>
      </c>
      <c r="F13" s="1" t="inlineStr">
        <is>
          <t>India</t>
        </is>
      </c>
      <c r="G13" s="1" t="n"/>
      <c r="H13" s="1" t="inlineStr">
        <is>
          <t>No</t>
        </is>
      </c>
      <c r="I13" s="5" t="n"/>
      <c r="J13" s="6">
        <f>IFERROR(HYPERLINK("https://docs.google.com/spreadsheets/d/10M8oEMfSST-xuPwcSARfQDNcQJ0xrCp8O9iHBGPAr34/edit?gid=1956219685&amp;range=A"&amp;MATCH("PR-2026-1632",'PR Lookup'!A:A,0),"PR-2026-1632"),"PR-2026-1632")</f>
        <v/>
      </c>
      <c r="K13" s="1" t="inlineStr">
        <is>
          <t>PR Raised</t>
        </is>
      </c>
      <c r="L13" s="3" t="n">
        <v>10</v>
      </c>
      <c r="M13" s="4" t="b">
        <v>0</v>
      </c>
      <c r="N13" s="3" t="n">
        <v>5</v>
      </c>
      <c r="O13" s="1" t="n"/>
      <c r="P13" s="1" t="n"/>
      <c r="Q13" s="1" t="n"/>
      <c r="R13" s="1" t="n"/>
      <c r="S13" s="1" t="inlineStr">
        <is>
          <t>Mobile (travels with robot)</t>
        </is>
      </c>
      <c r="T13" s="1" t="n"/>
      <c r="U13" s="3" t="n">
        <v>75</v>
      </c>
      <c r="V13" s="1">
        <f>IF($K13="To be purchased",COUNTIF($K13:$K$2,"To be purchased"),"")</f>
        <v/>
      </c>
    </row>
    <row r="14">
      <c r="A14" s="1" t="inlineStr">
        <is>
          <t>Power &amp; Switching</t>
        </is>
      </c>
      <c r="B14" s="2" t="inlineStr">
        <is>
          <t>Buck Converter - DDR-480C-12 - planner logic</t>
        </is>
      </c>
      <c r="C14" s="2" t="inlineStr">
        <is>
          <t>10-D Power Supplies &amp; Converters</t>
        </is>
      </c>
      <c r="D14" s="1" t="inlineStr">
        <is>
          <t>Badri</t>
        </is>
      </c>
      <c r="E14" s="1" t="inlineStr">
        <is>
          <t>1</t>
        </is>
      </c>
      <c r="F14" s="1" t="inlineStr">
        <is>
          <t>India</t>
        </is>
      </c>
      <c r="G14" s="1" t="n"/>
      <c r="H14" s="1" t="inlineStr">
        <is>
          <t>No</t>
        </is>
      </c>
      <c r="I14" s="1" t="n"/>
      <c r="J14" s="1" t="n"/>
      <c r="K14" s="1" t="inlineStr">
        <is>
          <t>IQC Stage</t>
        </is>
      </c>
      <c r="L14" s="3" t="n">
        <v>10</v>
      </c>
      <c r="M14" s="4" t="b">
        <v>0</v>
      </c>
      <c r="N14" s="3" t="n">
        <v>5</v>
      </c>
      <c r="O14" s="1" t="n"/>
      <c r="P14" s="1" t="n"/>
      <c r="Q14" s="1" t="n"/>
      <c r="R14" s="1" t="n"/>
      <c r="S14" s="1" t="inlineStr">
        <is>
          <t>NY Stationary (stays in NY inventory)</t>
        </is>
      </c>
      <c r="T14" s="1" t="n"/>
      <c r="U14" s="3" t="n">
        <v>92</v>
      </c>
      <c r="V14" s="1">
        <f>IF($K14="To be purchased",COUNTIF($K14:$K$2,"To be purchased"),"")</f>
        <v/>
      </c>
    </row>
    <row r="15">
      <c r="A15" s="1" t="inlineStr">
        <is>
          <t>Power &amp; Switching</t>
        </is>
      </c>
      <c r="B15" s="2" t="inlineStr">
        <is>
          <t>Trigger Board - USB Type-C PD HHM</t>
        </is>
      </c>
      <c r="C15" s="2" t="inlineStr">
        <is>
          <t>10-D Power Supplies &amp; Converters</t>
        </is>
      </c>
      <c r="D15" s="1" t="inlineStr">
        <is>
          <t>Uttez</t>
        </is>
      </c>
      <c r="E15" s="1" t="n">
        <v>2</v>
      </c>
      <c r="F15" s="1" t="inlineStr">
        <is>
          <t>India</t>
        </is>
      </c>
      <c r="G15" s="1" t="n"/>
      <c r="H15" s="1" t="inlineStr">
        <is>
          <t>No</t>
        </is>
      </c>
      <c r="I15" s="1" t="n"/>
      <c r="J15" s="6">
        <f>IFERROR(HYPERLINK("https://docs.google.com/spreadsheets/d/10M8oEMfSST-xuPwcSARfQDNcQJ0xrCp8O9iHBGPAr34/edit?gid=1956219685&amp;range=A"&amp;MATCH("PR-2026-1501",'PR Lookup'!A:A,0),"PR-2026-1501"),"PR-2026-1501")</f>
        <v/>
      </c>
      <c r="K15" s="1" t="inlineStr">
        <is>
          <t>In stock</t>
        </is>
      </c>
      <c r="L15" s="3" t="n">
        <v>10</v>
      </c>
      <c r="M15" s="4" t="b">
        <v>0</v>
      </c>
      <c r="N15" s="3" t="n">
        <v>5</v>
      </c>
      <c r="O15" s="1" t="n"/>
      <c r="P15" s="1" t="n"/>
      <c r="Q15" s="1" t="n"/>
      <c r="R15" s="1" t="n"/>
      <c r="S15" s="1" t="inlineStr">
        <is>
          <t>Mobile (travels with robot)</t>
        </is>
      </c>
      <c r="T15" s="1" t="n"/>
      <c r="U15" s="3" t="n">
        <v>153</v>
      </c>
      <c r="V15" s="1">
        <f>IF($K15="To be purchased",COUNTIF($K15:$K$2,"To be purchased"),"")</f>
        <v/>
      </c>
    </row>
    <row r="16">
      <c r="A16" s="1" t="inlineStr">
        <is>
          <t>Power &amp; Switching</t>
        </is>
      </c>
      <c r="B16" s="2" t="inlineStr">
        <is>
          <t>Buck Converter - 5 V 3 A, AP66300 - PWM generation</t>
        </is>
      </c>
      <c r="C16" s="2" t="inlineStr">
        <is>
          <t>10-D Power Supplies &amp; Converters</t>
        </is>
      </c>
      <c r="D16" s="1" t="inlineStr">
        <is>
          <t>Uttez</t>
        </is>
      </c>
      <c r="E16" s="1" t="n">
        <v>1</v>
      </c>
      <c r="F16" s="1" t="inlineStr">
        <is>
          <t>India</t>
        </is>
      </c>
      <c r="G16" s="1" t="n"/>
      <c r="H16" s="1" t="inlineStr">
        <is>
          <t>No</t>
        </is>
      </c>
      <c r="I16" s="1" t="n"/>
      <c r="J16" s="1" t="n"/>
      <c r="K16" s="1" t="inlineStr">
        <is>
          <t>In stock</t>
        </is>
      </c>
      <c r="L16" s="3" t="n">
        <v>10</v>
      </c>
      <c r="M16" s="4" t="b">
        <v>0</v>
      </c>
      <c r="N16" s="3" t="n">
        <v>5</v>
      </c>
      <c r="O16" s="1" t="n"/>
      <c r="P16" s="1" t="n"/>
      <c r="Q16" s="1" t="n"/>
      <c r="R16" s="1" t="n"/>
      <c r="S16" s="1" t="inlineStr">
        <is>
          <t>Mobile (travels with robot)</t>
        </is>
      </c>
      <c r="T16" s="1" t="n"/>
      <c r="U16" s="3" t="n">
        <v>447</v>
      </c>
      <c r="V16" s="1">
        <f>IF($K16="To be purchased",COUNTIF($K16:$K$2,"To be purchased"),"")</f>
        <v/>
      </c>
    </row>
    <row r="17">
      <c r="A17" s="1" t="inlineStr">
        <is>
          <t>Power &amp; Switching</t>
        </is>
      </c>
      <c r="B17" s="2" t="inlineStr">
        <is>
          <t>SMPS - 24 V, EDR-120-24 - TS sander actuators, TS sprayer actuators</t>
        </is>
      </c>
      <c r="C17" s="2" t="inlineStr">
        <is>
          <t>10-D Power Supplies &amp; Converters</t>
        </is>
      </c>
      <c r="D17" s="1" t="inlineStr">
        <is>
          <t>Uttez</t>
        </is>
      </c>
      <c r="E17" s="1" t="n">
        <v>1</v>
      </c>
      <c r="F17" s="1" t="inlineStr">
        <is>
          <t>India</t>
        </is>
      </c>
      <c r="G17" s="1" t="n"/>
      <c r="H17" s="1" t="inlineStr">
        <is>
          <t>Yes</t>
        </is>
      </c>
      <c r="I17" s="1" t="n"/>
      <c r="J17" s="6">
        <f>IFERROR(HYPERLINK("https://docs.google.com/spreadsheets/d/10M8oEMfSST-xuPwcSARfQDNcQJ0xrCp8O9iHBGPAr34/edit?gid=1956219685&amp;range=A"&amp;MATCH("PR-2026-1626",'PR Lookup'!A:A,0),"PR-2026-1626"),"PR-2026-1626")</f>
        <v/>
      </c>
      <c r="K17" s="1" t="inlineStr">
        <is>
          <t>In stock</t>
        </is>
      </c>
      <c r="L17" s="3" t="n">
        <v>10</v>
      </c>
      <c r="M17" s="4" t="b">
        <v>0</v>
      </c>
      <c r="N17" s="3" t="n">
        <v>5</v>
      </c>
      <c r="O17" s="1" t="n"/>
      <c r="P17" s="1" t="inlineStr">
        <is>
          <t>IQC : Input 220V AC Output 24V DC</t>
        </is>
      </c>
      <c r="Q17" s="1" t="n"/>
      <c r="R17" s="1" t="n"/>
      <c r="S17" s="1" t="inlineStr">
        <is>
          <t>Mobile (travels with robot)</t>
        </is>
      </c>
      <c r="T17" s="2" t="inlineStr">
        <is>
          <t>Also stocked in: Tool Spares / Sprayer EBOM. Kept separate on purpose - one per box.</t>
        </is>
      </c>
      <c r="U17" s="3" t="n">
        <v>488</v>
      </c>
      <c r="V17" s="1">
        <f>IF($K17="To be purchased",COUNTIF($K17:$K$2,"To be purchased"),"")</f>
        <v/>
      </c>
    </row>
    <row r="18">
      <c r="A18" s="1" t="inlineStr">
        <is>
          <t>Power &amp; Switching</t>
        </is>
      </c>
      <c r="B18" s="2" t="inlineStr">
        <is>
          <t>SMPS-24V (110V AC input)</t>
        </is>
      </c>
      <c r="C18" s="2" t="inlineStr">
        <is>
          <t>10-D Power Supplies &amp; Converters</t>
        </is>
      </c>
      <c r="D18" s="1" t="inlineStr">
        <is>
          <t>Badri</t>
        </is>
      </c>
      <c r="E18" s="7" t="n">
        <v>1</v>
      </c>
      <c r="F18" s="1" t="inlineStr">
        <is>
          <t>India</t>
        </is>
      </c>
      <c r="G18" s="1" t="n"/>
      <c r="H18" s="1" t="inlineStr">
        <is>
          <t>No</t>
        </is>
      </c>
      <c r="I18" s="1" t="n"/>
      <c r="J18" s="1" t="n"/>
      <c r="K18" s="1" t="inlineStr">
        <is>
          <t>PR Raised</t>
        </is>
      </c>
      <c r="L18" s="3" t="n">
        <v>10</v>
      </c>
      <c r="M18" s="4" t="b">
        <v>0</v>
      </c>
      <c r="N18" s="3" t="n">
        <v>5</v>
      </c>
      <c r="O18" s="1" t="n"/>
      <c r="P18" s="1" t="n"/>
      <c r="Q18" s="1" t="n"/>
      <c r="R18" s="1" t="n"/>
      <c r="S18" s="1" t="n"/>
      <c r="T18" s="1" t="n"/>
      <c r="U18" s="1" t="n"/>
      <c r="V18" s="1" t="n"/>
    </row>
    <row r="19">
      <c r="A19" s="8" t="inlineStr">
        <is>
          <t>Power &amp; Switching</t>
        </is>
      </c>
      <c r="B19" s="9" t="inlineStr">
        <is>
          <t>Power Bank - 25000 mAh 100 W, Stuffcool Giga Max - HHM</t>
        </is>
      </c>
      <c r="C19" s="9" t="inlineStr">
        <is>
          <t>10-F Battery Chargers</t>
        </is>
      </c>
      <c r="D19" s="8" t="inlineStr">
        <is>
          <t>Uttez</t>
        </is>
      </c>
      <c r="E19" s="8" t="n">
        <v>2</v>
      </c>
      <c r="F19" s="8" t="inlineStr">
        <is>
          <t>India</t>
        </is>
      </c>
      <c r="G19" s="8" t="n"/>
      <c r="H19" s="8" t="inlineStr">
        <is>
          <t>No</t>
        </is>
      </c>
      <c r="I19" s="8" t="n"/>
      <c r="J19" s="8" t="n"/>
      <c r="K19" s="8" t="inlineStr">
        <is>
          <t>Hold</t>
        </is>
      </c>
      <c r="L19" s="10" t="n">
        <v>10</v>
      </c>
      <c r="M19" s="4" t="b">
        <v>0</v>
      </c>
      <c r="N19" s="10" t="n">
        <v>5</v>
      </c>
      <c r="O19" s="8" t="n"/>
      <c r="P19" s="8" t="inlineStr">
        <is>
          <t>Luggage Item, Not a Spare Item</t>
        </is>
      </c>
      <c r="Q19" s="8" t="n"/>
      <c r="R19" s="8" t="n"/>
      <c r="S19" s="8" t="inlineStr">
        <is>
          <t>Mobile (travels with robot)</t>
        </is>
      </c>
      <c r="T19" s="9" t="inlineStr">
        <is>
          <t>[BOX NAME CORRECTED: was "Luggage"]</t>
        </is>
      </c>
      <c r="U19" s="10" t="n">
        <v>137</v>
      </c>
      <c r="V19" s="8">
        <f>IF($K19="To be purchased",COUNTIF($K$2:$K19,"To be purchased"),"")</f>
        <v/>
      </c>
    </row>
    <row r="20">
      <c r="A20" s="1" t="inlineStr">
        <is>
          <t>Power &amp; Switching</t>
        </is>
      </c>
      <c r="B20" s="2" t="inlineStr">
        <is>
          <t>E-Stop - Head, XB5AS8445 MoMa, OST</t>
        </is>
      </c>
      <c r="C20" s="2" t="inlineStr">
        <is>
          <t>10-G E-Stops &amp; Push Buttons</t>
        </is>
      </c>
      <c r="D20" s="1" t="inlineStr">
        <is>
          <t>Badri</t>
        </is>
      </c>
      <c r="E20" s="7" t="n">
        <v>2</v>
      </c>
      <c r="F20" s="1" t="inlineStr">
        <is>
          <t>India</t>
        </is>
      </c>
      <c r="G20" s="1" t="n"/>
      <c r="H20" s="1" t="inlineStr">
        <is>
          <t>No</t>
        </is>
      </c>
      <c r="I20" s="5" t="n"/>
      <c r="J20" s="6">
        <f>IFERROR(HYPERLINK("https://docs.google.com/spreadsheets/d/10M8oEMfSST-xuPwcSARfQDNcQJ0xrCp8O9iHBGPAr34/edit?gid=1956219685&amp;range=A"&amp;MATCH("PR-2026-1613",'PR Lookup'!A:A,0),"PR-2026-1613"),"PR-2026-1613")</f>
        <v/>
      </c>
      <c r="K20" s="1" t="inlineStr">
        <is>
          <t>PR Raised</t>
        </is>
      </c>
      <c r="L20" s="3" t="n">
        <v>10</v>
      </c>
      <c r="M20" s="4" t="b">
        <v>0</v>
      </c>
      <c r="N20" s="3" t="n">
        <v>5</v>
      </c>
      <c r="O20" s="1" t="n"/>
      <c r="P20" s="1" t="n"/>
      <c r="Q20" s="1" t="n"/>
      <c r="R20" s="1" t="n"/>
      <c r="S20" s="1" t="inlineStr">
        <is>
          <t>Mobile (travels with robot)</t>
        </is>
      </c>
      <c r="T20" s="1" t="n"/>
      <c r="U20" s="3" t="n">
        <v>51</v>
      </c>
      <c r="V20" s="1">
        <f>IF($K20="To be purchased",COUNTIF($K$2:$K20,"To be purchased"),"")</f>
        <v/>
      </c>
    </row>
    <row r="21">
      <c r="A21" s="1" t="inlineStr">
        <is>
          <t>Power &amp; Switching</t>
        </is>
      </c>
      <c r="B21" s="2" t="inlineStr">
        <is>
          <t>E-Stop - NC Contact Block, ZBE-102N MoMa, OST</t>
        </is>
      </c>
      <c r="C21" s="2" t="inlineStr">
        <is>
          <t>10-G E-Stops &amp; Push Buttons</t>
        </is>
      </c>
      <c r="D21" s="1" t="inlineStr">
        <is>
          <t>Badri</t>
        </is>
      </c>
      <c r="E21" s="1" t="n">
        <v>4</v>
      </c>
      <c r="F21" s="1" t="inlineStr">
        <is>
          <t>India</t>
        </is>
      </c>
      <c r="G21" s="1" t="n"/>
      <c r="H21" s="1" t="inlineStr">
        <is>
          <t>Yes</t>
        </is>
      </c>
      <c r="I21" s="5" t="n"/>
      <c r="J21" s="6">
        <f>IFERROR(HYPERLINK("https://docs.google.com/spreadsheets/d/10M8oEMfSST-xuPwcSARfQDNcQJ0xrCp8O9iHBGPAr34/edit?gid=1956219685&amp;range=A"&amp;MATCH("PR-2026-1682",'PR Lookup'!A:A,0),"PR-2026-1682"),"PR-2026-1682")</f>
        <v/>
      </c>
      <c r="K21" s="1" t="inlineStr">
        <is>
          <t>In stock</t>
        </is>
      </c>
      <c r="L21" s="3" t="n">
        <v>10</v>
      </c>
      <c r="M21" s="4" t="b">
        <v>0</v>
      </c>
      <c r="N21" s="3" t="n">
        <v>5</v>
      </c>
      <c r="O21" s="1" t="n"/>
      <c r="P21" s="1" t="n"/>
      <c r="Q21" s="1" t="n"/>
      <c r="R21" s="1" t="n"/>
      <c r="S21" s="1" t="inlineStr">
        <is>
          <t>Mobile (travels with robot)</t>
        </is>
      </c>
      <c r="T21" s="1" t="n"/>
      <c r="U21" s="3" t="n">
        <v>52</v>
      </c>
      <c r="V21" s="1">
        <f>IF($K21="To be purchased",COUNTIF($K$2:$K21,"To be purchased"),"")</f>
        <v/>
      </c>
    </row>
    <row r="22">
      <c r="A22" s="1" t="inlineStr">
        <is>
          <t>Power &amp; Switching</t>
        </is>
      </c>
      <c r="B22" s="2" t="inlineStr">
        <is>
          <t>Push Button - Red, XB5AA45 - TS sander sprayer</t>
        </is>
      </c>
      <c r="C22" s="2" t="inlineStr">
        <is>
          <t>10-G E-Stops &amp; Push Buttons</t>
        </is>
      </c>
      <c r="D22" s="1" t="inlineStr">
        <is>
          <t>Uttez</t>
        </is>
      </c>
      <c r="E22" s="1" t="inlineStr">
        <is>
          <t>2</t>
        </is>
      </c>
      <c r="F22" s="1" t="inlineStr">
        <is>
          <t>India</t>
        </is>
      </c>
      <c r="G22" s="1" t="n"/>
      <c r="H22" s="1" t="inlineStr">
        <is>
          <t>Yes</t>
        </is>
      </c>
      <c r="I22" s="1" t="n"/>
      <c r="J22" s="6">
        <f>IFERROR(HYPERLINK("https://docs.google.com/spreadsheets/d/10M8oEMfSST-xuPwcSARfQDNcQJ0xrCp8O9iHBGPAr34/edit?gid=1956219685&amp;range=A"&amp;MATCH("PR-2026-1620",'PR Lookup'!A:A,0),"PR-2026-1620"),"PR-2026-1620")</f>
        <v/>
      </c>
      <c r="K22" s="1" t="inlineStr">
        <is>
          <t>In stock</t>
        </is>
      </c>
      <c r="L22" s="3" t="n">
        <v>10</v>
      </c>
      <c r="M22" s="4" t="b">
        <v>0</v>
      </c>
      <c r="N22" s="3" t="n">
        <v>5</v>
      </c>
      <c r="O22" s="1" t="n"/>
      <c r="P22" s="1" t="inlineStr">
        <is>
          <t>IQC : Continuity check</t>
        </is>
      </c>
      <c r="Q22" s="1" t="n"/>
      <c r="R22" s="1" t="n"/>
      <c r="S22" s="1" t="inlineStr">
        <is>
          <t>Mobile (travels with robot)</t>
        </is>
      </c>
      <c r="T22" s="2" t="inlineStr">
        <is>
          <t>Also stocked in: Tool Spares / Sprayer EBOM. Kept separate on purpose - one per box.</t>
        </is>
      </c>
      <c r="U22" s="3" t="n">
        <v>478</v>
      </c>
      <c r="V22" s="1">
        <f>IF($K22="To be purchased",COUNTIF($K$2:$K22,"To be purchased"),"")</f>
        <v/>
      </c>
    </row>
    <row r="23">
      <c r="A23" s="1" t="inlineStr">
        <is>
          <t>Power &amp; Switching</t>
        </is>
      </c>
      <c r="B23" s="2" t="inlineStr">
        <is>
          <t>Push Button - Blue, XB5AA61 - TS sander sprayer</t>
        </is>
      </c>
      <c r="C23" s="2" t="inlineStr">
        <is>
          <t>10-G E-Stops &amp; Push Buttons</t>
        </is>
      </c>
      <c r="D23" s="1" t="inlineStr">
        <is>
          <t>Uttez</t>
        </is>
      </c>
      <c r="E23" s="1" t="n">
        <v>2</v>
      </c>
      <c r="F23" s="1" t="inlineStr">
        <is>
          <t>India</t>
        </is>
      </c>
      <c r="G23" s="1" t="n"/>
      <c r="H23" s="1" t="inlineStr">
        <is>
          <t>No</t>
        </is>
      </c>
      <c r="I23" s="1" t="n"/>
      <c r="J23" s="6">
        <f>IFERROR(HYPERLINK("https://docs.google.com/spreadsheets/d/10M8oEMfSST-xuPwcSARfQDNcQJ0xrCp8O9iHBGPAr34/edit?gid=1956219685&amp;range=A"&amp;MATCH("PR-2026-1621",'PR Lookup'!A:A,0),"PR-2026-1621"),"PR-2026-1621")</f>
        <v/>
      </c>
      <c r="K23" s="1" t="inlineStr">
        <is>
          <t>PR Raised</t>
        </is>
      </c>
      <c r="L23" s="3" t="n">
        <v>10</v>
      </c>
      <c r="M23" s="4" t="b">
        <v>0</v>
      </c>
      <c r="N23" s="3" t="n">
        <v>5</v>
      </c>
      <c r="O23" s="1" t="n"/>
      <c r="P23" s="1" t="n"/>
      <c r="Q23" s="1" t="n"/>
      <c r="R23" s="1" t="n"/>
      <c r="S23" s="1" t="inlineStr">
        <is>
          <t>Mobile (travels with robot)</t>
        </is>
      </c>
      <c r="T23" s="2" t="inlineStr">
        <is>
          <t>Also stocked in: Tool Spares / Sprayer EBOM. Kept separate on purpose - one per box.</t>
        </is>
      </c>
      <c r="U23" s="3" t="n">
        <v>479</v>
      </c>
      <c r="V23" s="1">
        <f>IF($K23="To be purchased",COUNTIF($K$2:$K23,"To be purchased"),"")</f>
        <v/>
      </c>
    </row>
    <row r="24">
      <c r="A24" s="1" t="inlineStr">
        <is>
          <t>Power &amp; Switching</t>
        </is>
      </c>
      <c r="B24" s="2" t="inlineStr">
        <is>
          <t>Push Button - Green, XB5AA31 - TS sander sprayer</t>
        </is>
      </c>
      <c r="C24" s="2" t="inlineStr">
        <is>
          <t>10-G E-Stops &amp; Push Buttons</t>
        </is>
      </c>
      <c r="D24" s="1" t="inlineStr">
        <is>
          <t>Uttez</t>
        </is>
      </c>
      <c r="E24" s="1" t="inlineStr">
        <is>
          <t>2</t>
        </is>
      </c>
      <c r="F24" s="1" t="inlineStr">
        <is>
          <t>India</t>
        </is>
      </c>
      <c r="G24" s="1" t="n"/>
      <c r="H24" s="1" t="inlineStr">
        <is>
          <t>Yes</t>
        </is>
      </c>
      <c r="I24" s="1" t="n"/>
      <c r="J24" s="6">
        <f>IFERROR(HYPERLINK("https://docs.google.com/spreadsheets/d/10M8oEMfSST-xuPwcSARfQDNcQJ0xrCp8O9iHBGPAr34/edit?gid=1956219685&amp;range=A"&amp;MATCH("PR-2026-1622",'PR Lookup'!A:A,0),"PR-2026-1622"),"PR-2026-1622")</f>
        <v/>
      </c>
      <c r="K24" s="1" t="inlineStr">
        <is>
          <t>In stock</t>
        </is>
      </c>
      <c r="L24" s="3" t="n">
        <v>10</v>
      </c>
      <c r="M24" s="4" t="b">
        <v>0</v>
      </c>
      <c r="N24" s="3" t="n">
        <v>5</v>
      </c>
      <c r="O24" s="1" t="n"/>
      <c r="P24" s="1" t="inlineStr">
        <is>
          <t>IQC : Continuity check</t>
        </is>
      </c>
      <c r="Q24" s="1" t="n"/>
      <c r="R24" s="1" t="n"/>
      <c r="S24" s="1" t="inlineStr">
        <is>
          <t>Mobile (travels with robot)</t>
        </is>
      </c>
      <c r="T24" s="2" t="inlineStr">
        <is>
          <t>Also stocked in: Tool Spares / Sprayer EBOM. Kept separate on purpose - one per box.</t>
        </is>
      </c>
      <c r="U24" s="3" t="n">
        <v>480</v>
      </c>
      <c r="V24" s="1">
        <f>IF($K24="To be purchased",COUNTIF($K$2:$K24,"To be purchased"),"")</f>
        <v/>
      </c>
    </row>
    <row r="25">
      <c r="A25" s="1" t="inlineStr">
        <is>
          <t>Power &amp; Switching</t>
        </is>
      </c>
      <c r="B25" s="2" t="inlineStr">
        <is>
          <t>Push Button - Yellow, XB5AA51 - TS sander sprayer</t>
        </is>
      </c>
      <c r="C25" s="2" t="inlineStr">
        <is>
          <t>10-G E-Stops &amp; Push Buttons</t>
        </is>
      </c>
      <c r="D25" s="1" t="inlineStr">
        <is>
          <t>Uttez</t>
        </is>
      </c>
      <c r="E25" s="1" t="inlineStr">
        <is>
          <t>2</t>
        </is>
      </c>
      <c r="F25" s="1" t="inlineStr">
        <is>
          <t>India</t>
        </is>
      </c>
      <c r="G25" s="1" t="n"/>
      <c r="H25" s="1" t="inlineStr">
        <is>
          <t>Yes</t>
        </is>
      </c>
      <c r="I25" s="1" t="n"/>
      <c r="J25" s="6">
        <f>IFERROR(HYPERLINK("https://docs.google.com/spreadsheets/d/10M8oEMfSST-xuPwcSARfQDNcQJ0xrCp8O9iHBGPAr34/edit?gid=1956219685&amp;range=A"&amp;MATCH("PR-2026-1621",'PR Lookup'!A:A,0),"PR-2026-1621"),"PR-2026-1621")</f>
        <v/>
      </c>
      <c r="K25" s="1" t="inlineStr">
        <is>
          <t>In stock</t>
        </is>
      </c>
      <c r="L25" s="3" t="n">
        <v>10</v>
      </c>
      <c r="M25" s="4" t="b">
        <v>0</v>
      </c>
      <c r="N25" s="3" t="n">
        <v>5</v>
      </c>
      <c r="O25" s="1" t="n"/>
      <c r="P25" s="1" t="inlineStr">
        <is>
          <t>IQC : Continuity check</t>
        </is>
      </c>
      <c r="Q25" s="1" t="n"/>
      <c r="R25" s="1" t="n"/>
      <c r="S25" s="1" t="inlineStr">
        <is>
          <t>Mobile (travels with robot)</t>
        </is>
      </c>
      <c r="T25" s="2" t="inlineStr">
        <is>
          <t>Also stocked in: Tool Spares / Sprayer EBOM. Kept separate on purpose - one per box.</t>
        </is>
      </c>
      <c r="U25" s="3" t="n">
        <v>481</v>
      </c>
      <c r="V25" s="1">
        <f>IF($K25="To be purchased",COUNTIF($K$2:$K25,"To be purchased"),"")</f>
        <v/>
      </c>
    </row>
    <row r="26">
      <c r="A26" s="1" t="inlineStr">
        <is>
          <t>Power &amp; Switching</t>
        </is>
      </c>
      <c r="B26" s="2" t="inlineStr">
        <is>
          <t>Switch - Toggle, XB5AD21 - EM latch trigger</t>
        </is>
      </c>
      <c r="C26" s="2" t="inlineStr">
        <is>
          <t>10-H Switches</t>
        </is>
      </c>
      <c r="D26" s="1" t="inlineStr">
        <is>
          <t>Badri</t>
        </is>
      </c>
      <c r="E26" s="1" t="inlineStr">
        <is>
          <t>1</t>
        </is>
      </c>
      <c r="F26" s="1" t="inlineStr">
        <is>
          <t>India</t>
        </is>
      </c>
      <c r="G26" s="1" t="n"/>
      <c r="H26" s="1" t="inlineStr">
        <is>
          <t>No</t>
        </is>
      </c>
      <c r="I26" s="1" t="n"/>
      <c r="J26" s="1" t="n"/>
      <c r="K26" s="1" t="inlineStr">
        <is>
          <t>IQC Stage</t>
        </is>
      </c>
      <c r="L26" s="3" t="n">
        <v>10</v>
      </c>
      <c r="M26" s="4" t="b">
        <v>0</v>
      </c>
      <c r="N26" s="3" t="n">
        <v>5</v>
      </c>
      <c r="O26" s="1" t="n"/>
      <c r="P26" s="1" t="n"/>
      <c r="Q26" s="1" t="n"/>
      <c r="R26" s="1" t="n"/>
      <c r="S26" s="1" t="inlineStr">
        <is>
          <t>Mobile (travels with robot)</t>
        </is>
      </c>
      <c r="T26" s="1" t="n"/>
      <c r="U26" s="3" t="n">
        <v>79</v>
      </c>
      <c r="V26" s="1">
        <f>IF($K26="To be purchased",COUNTIF($K$2:$K26,"To be purchased"),"")</f>
        <v/>
      </c>
    </row>
    <row r="27">
      <c r="A27" s="1" t="inlineStr">
        <is>
          <t>Power &amp; Switching</t>
        </is>
      </c>
      <c r="B27" s="2" t="inlineStr">
        <is>
          <t>Switch - Power On, LAK39C-11T</t>
        </is>
      </c>
      <c r="C27" s="2" t="inlineStr">
        <is>
          <t>10-H Switches</t>
        </is>
      </c>
      <c r="D27" s="1" t="inlineStr">
        <is>
          <t>Badri</t>
        </is>
      </c>
      <c r="E27" s="1" t="inlineStr">
        <is>
          <t>1</t>
        </is>
      </c>
      <c r="F27" s="1" t="inlineStr">
        <is>
          <t>India</t>
        </is>
      </c>
      <c r="G27" s="1" t="n"/>
      <c r="H27" s="1" t="inlineStr">
        <is>
          <t>No</t>
        </is>
      </c>
      <c r="I27" s="5" t="n"/>
      <c r="J27" s="6">
        <f>IFERROR(HYPERLINK("https://docs.google.com/spreadsheets/d/10M8oEMfSST-xuPwcSARfQDNcQJ0xrCp8O9iHBGPAr34/edit?gid=1956219685&amp;range=A"&amp;MATCH("PR-2026-1697",'PR Lookup'!A:A,0),"PR-2026-1697"),"PR-2026-1697")</f>
        <v/>
      </c>
      <c r="K27" s="1" t="inlineStr">
        <is>
          <t>PR Raised</t>
        </is>
      </c>
      <c r="L27" s="3" t="n">
        <v>10</v>
      </c>
      <c r="M27" s="4" t="b">
        <v>0</v>
      </c>
      <c r="N27" s="3" t="n">
        <v>5</v>
      </c>
      <c r="O27" s="1" t="n"/>
      <c r="P27" s="1" t="n"/>
      <c r="Q27" s="1" t="n"/>
      <c r="R27" s="1" t="n"/>
      <c r="S27" s="1" t="inlineStr">
        <is>
          <t>Mobile (travels with robot)</t>
        </is>
      </c>
      <c r="T27" s="1" t="n"/>
      <c r="U27" s="3" t="n">
        <v>131</v>
      </c>
      <c r="V27" s="1">
        <f>IF($K27="To be purchased",COUNTIF($K$2:$K27,"To be purchased"),"")</f>
        <v/>
      </c>
    </row>
    <row r="28">
      <c r="A28" s="8" t="inlineStr">
        <is>
          <t>Power &amp; Switching</t>
        </is>
      </c>
      <c r="B28" s="9" t="inlineStr">
        <is>
          <t>Switch - Power with Integrated LED, LB12E-P10Z - HHM</t>
        </is>
      </c>
      <c r="C28" s="9" t="inlineStr">
        <is>
          <t>10-H Switches</t>
        </is>
      </c>
      <c r="D28" s="8" t="inlineStr">
        <is>
          <t>Uttez</t>
        </is>
      </c>
      <c r="E28" s="8" t="n">
        <v>1</v>
      </c>
      <c r="F28" s="8" t="inlineStr">
        <is>
          <t>India</t>
        </is>
      </c>
      <c r="G28" s="8" t="n"/>
      <c r="H28" s="8" t="inlineStr">
        <is>
          <t>No</t>
        </is>
      </c>
      <c r="I28" s="8" t="n"/>
      <c r="J28" s="8" t="n"/>
      <c r="K28" s="8" t="inlineStr">
        <is>
          <t>In stock</t>
        </is>
      </c>
      <c r="L28" s="10" t="n">
        <v>10</v>
      </c>
      <c r="M28" s="11" t="b">
        <v>0</v>
      </c>
      <c r="N28" s="10" t="n">
        <v>5</v>
      </c>
      <c r="O28" s="8" t="n"/>
      <c r="P28" s="8" t="n"/>
      <c r="Q28" s="8" t="n"/>
      <c r="R28" s="8" t="n"/>
      <c r="S28" s="8" t="inlineStr">
        <is>
          <t>Mobile (travels with robot)</t>
        </is>
      </c>
      <c r="T28" s="8" t="n"/>
      <c r="U28" s="10" t="n">
        <v>146</v>
      </c>
      <c r="V28" s="8">
        <f>IF($K28="To be purchased",COUNTIF($K$2:$K28,"To be purchased"),"")</f>
        <v/>
      </c>
    </row>
    <row r="29">
      <c r="A29" s="1" t="inlineStr">
        <is>
          <t>Power &amp; Switching</t>
        </is>
      </c>
      <c r="B29" s="2" t="inlineStr">
        <is>
          <t>Indication Light - 48 V DC, 3EPLBR348DC</t>
        </is>
      </c>
      <c r="C29" s="2" t="inlineStr">
        <is>
          <t>10-I Indication Lights &amp; LEDs</t>
        </is>
      </c>
      <c r="D29" s="1" t="inlineStr">
        <is>
          <t>Badri</t>
        </is>
      </c>
      <c r="E29" s="1" t="inlineStr">
        <is>
          <t>1</t>
        </is>
      </c>
      <c r="F29" s="1" t="inlineStr">
        <is>
          <t>India</t>
        </is>
      </c>
      <c r="G29" s="1" t="n"/>
      <c r="H29" s="1" t="inlineStr">
        <is>
          <t>No</t>
        </is>
      </c>
      <c r="I29" s="1" t="n"/>
      <c r="J29" s="1" t="n"/>
      <c r="K29" s="1" t="inlineStr">
        <is>
          <t>IQC Stage</t>
        </is>
      </c>
      <c r="L29" s="3" t="n">
        <v>10</v>
      </c>
      <c r="M29" s="4" t="b">
        <v>0</v>
      </c>
      <c r="N29" s="3" t="n">
        <v>5</v>
      </c>
      <c r="O29" s="1" t="n"/>
      <c r="P29" s="1" t="n"/>
      <c r="Q29" s="1" t="n"/>
      <c r="R29" s="1" t="n"/>
      <c r="S29" s="1" t="inlineStr">
        <is>
          <t>NY Stationary (stays in NY inventory)</t>
        </is>
      </c>
      <c r="T29" s="1" t="n"/>
      <c r="U29" s="3" t="n">
        <v>47</v>
      </c>
      <c r="V29" s="1">
        <f>IF($K29="To be purchased",COUNTIF($K$2:$K29,"To be purchased"),"")</f>
        <v/>
      </c>
    </row>
    <row r="30">
      <c r="A30" s="1" t="inlineStr">
        <is>
          <t>Power &amp; Switching</t>
        </is>
      </c>
      <c r="B30" s="2" t="inlineStr">
        <is>
          <t>Indication Light - 24 V DC, 3EPLBR3L24DC Green MoMa, OST, TS Sander, TS Sprayer</t>
        </is>
      </c>
      <c r="C30" s="2" t="inlineStr">
        <is>
          <t>10-I Indication Lights &amp; LEDs</t>
        </is>
      </c>
      <c r="D30" s="1" t="inlineStr">
        <is>
          <t>Badri</t>
        </is>
      </c>
      <c r="E30" s="1" t="n">
        <v>5</v>
      </c>
      <c r="F30" s="1" t="inlineStr">
        <is>
          <t>India</t>
        </is>
      </c>
      <c r="G30" s="1" t="n"/>
      <c r="H30" s="1" t="inlineStr">
        <is>
          <t>No</t>
        </is>
      </c>
      <c r="I30" s="1" t="n"/>
      <c r="J30" s="1" t="n"/>
      <c r="K30" s="1" t="inlineStr">
        <is>
          <t>In stock</t>
        </is>
      </c>
      <c r="L30" s="3" t="n">
        <v>10</v>
      </c>
      <c r="M30" s="4" t="b">
        <v>0</v>
      </c>
      <c r="N30" s="3" t="n">
        <v>5</v>
      </c>
      <c r="O30" s="1" t="n"/>
      <c r="P30" s="1" t="inlineStr">
        <is>
          <t>IQC : 24V DC input, LED Glow</t>
        </is>
      </c>
      <c r="Q30" s="1" t="n"/>
      <c r="R30" s="1" t="n"/>
      <c r="S30" s="1" t="inlineStr">
        <is>
          <t>NY Stationary (stays in NY inventory)</t>
        </is>
      </c>
      <c r="T30" s="1" t="n"/>
      <c r="U30" s="3" t="n">
        <v>48</v>
      </c>
      <c r="V30" s="1">
        <f>IF($K30="To be purchased",COUNTIF($K$2:$K30,"To be purchased"),"")</f>
        <v/>
      </c>
    </row>
    <row r="31">
      <c r="A31" s="1" t="inlineStr">
        <is>
          <t>Power &amp; Switching</t>
        </is>
      </c>
      <c r="B31" s="2" t="inlineStr">
        <is>
          <t>Indication Light - 240 V AC, 3EPLBR5L240AC</t>
        </is>
      </c>
      <c r="C31" s="2" t="inlineStr">
        <is>
          <t>10-I Indication Lights &amp; LEDs</t>
        </is>
      </c>
      <c r="D31" s="1" t="inlineStr">
        <is>
          <t>Badri</t>
        </is>
      </c>
      <c r="E31" s="1" t="inlineStr">
        <is>
          <t>1</t>
        </is>
      </c>
      <c r="F31" s="1" t="inlineStr">
        <is>
          <t>India</t>
        </is>
      </c>
      <c r="G31" s="1" t="n"/>
      <c r="H31" s="1" t="inlineStr">
        <is>
          <t>No</t>
        </is>
      </c>
      <c r="I31" s="1" t="n"/>
      <c r="J31" s="1" t="n"/>
      <c r="K31" s="1" t="inlineStr">
        <is>
          <t>IQC Stage</t>
        </is>
      </c>
      <c r="L31" s="3" t="n">
        <v>10</v>
      </c>
      <c r="M31" s="4" t="b">
        <v>0</v>
      </c>
      <c r="N31" s="3" t="n">
        <v>5</v>
      </c>
      <c r="O31" s="1" t="n"/>
      <c r="P31" s="1" t="n"/>
      <c r="Q31" s="1" t="n"/>
      <c r="R31" s="1" t="n"/>
      <c r="S31" s="1" t="inlineStr">
        <is>
          <t>NY Stationary (stays in NY inventory)</t>
        </is>
      </c>
      <c r="T31" s="1" t="n"/>
      <c r="U31" s="3" t="n">
        <v>49</v>
      </c>
      <c r="V31" s="1">
        <f>IF($K31="To be purchased",COUNTIF($K$2:$K31,"To be purchased"),"")</f>
        <v/>
      </c>
    </row>
    <row r="32">
      <c r="A32" s="1" t="inlineStr">
        <is>
          <t>Power &amp; Switching</t>
        </is>
      </c>
      <c r="B32" s="2" t="inlineStr">
        <is>
          <t>LED - Perception Light, CMB2550-57E-0A-N0B-00001</t>
        </is>
      </c>
      <c r="C32" s="2" t="inlineStr">
        <is>
          <t>10-I Indication Lights &amp; LEDs</t>
        </is>
      </c>
      <c r="D32" s="1" t="inlineStr">
        <is>
          <t>Badri</t>
        </is>
      </c>
      <c r="E32" s="7" t="inlineStr">
        <is>
          <t>7</t>
        </is>
      </c>
      <c r="F32" s="1" t="inlineStr">
        <is>
          <t>India</t>
        </is>
      </c>
      <c r="G32" s="1" t="n"/>
      <c r="H32" s="1" t="inlineStr">
        <is>
          <t>No</t>
        </is>
      </c>
      <c r="I32" s="5" t="n"/>
      <c r="J32" s="6">
        <f>IFERROR(HYPERLINK("https://docs.google.com/spreadsheets/d/10M8oEMfSST-xuPwcSARfQDNcQJ0xrCp8O9iHBGPAr34/edit?gid=1956219685&amp;range=A"&amp;MATCH("PR-2026-1633",'PR Lookup'!A:A,0),"PR-2026-1633"),"PR-2026-1633")</f>
        <v/>
      </c>
      <c r="K32" s="1" t="inlineStr">
        <is>
          <t>PR Raised</t>
        </is>
      </c>
      <c r="L32" s="3" t="n">
        <v>10</v>
      </c>
      <c r="M32" s="4" t="b">
        <v>0</v>
      </c>
      <c r="N32" s="3" t="n">
        <v>5</v>
      </c>
      <c r="O32" s="1" t="n"/>
      <c r="P32" s="1" t="n"/>
      <c r="Q32" s="1" t="n"/>
      <c r="R32" s="1" t="n"/>
      <c r="S32" s="1" t="inlineStr">
        <is>
          <t>Mobile (travels with robot)</t>
        </is>
      </c>
      <c r="T32" s="1" t="n"/>
      <c r="U32" s="3" t="n">
        <v>96</v>
      </c>
      <c r="V32" s="1">
        <f>IF($K32="To be purchased",COUNTIF($K$2:$K32,"To be purchased"),"")</f>
        <v/>
      </c>
    </row>
    <row r="33">
      <c r="A33" s="1" t="inlineStr">
        <is>
          <t>Power &amp; Switching</t>
        </is>
      </c>
      <c r="B33" s="2" t="inlineStr">
        <is>
          <t>Tower Light - 12 V, Q1-A</t>
        </is>
      </c>
      <c r="C33" s="2" t="inlineStr">
        <is>
          <t>10-I Indication Lights &amp; LEDs</t>
        </is>
      </c>
      <c r="D33" s="1" t="inlineStr">
        <is>
          <t>Badri</t>
        </is>
      </c>
      <c r="E33" s="1" t="inlineStr">
        <is>
          <t>1</t>
        </is>
      </c>
      <c r="F33" s="1" t="inlineStr">
        <is>
          <t>India</t>
        </is>
      </c>
      <c r="G33" s="1" t="n"/>
      <c r="H33" s="1" t="inlineStr">
        <is>
          <t>Yes</t>
        </is>
      </c>
      <c r="I33" s="1" t="n"/>
      <c r="J33" s="12">
        <f>IFERROR(HYPERLINK("https://docs.google.com/spreadsheets/d/10M8oEMfSST-xuPwcSARfQDNcQJ0xrCp8O9iHBGPAr34/edit?gid=1956219685&amp;range=A"&amp;MATCH("PR-2026-1698",'PR Lookup'!A:A,0),"PR-2026-1698"),"PR-2026-1698")</f>
        <v/>
      </c>
      <c r="K33" s="1" t="inlineStr">
        <is>
          <t>PR Raised</t>
        </is>
      </c>
      <c r="L33" s="3" t="n">
        <v>10</v>
      </c>
      <c r="M33" s="4" t="b">
        <v>0</v>
      </c>
      <c r="N33" s="3" t="n">
        <v>5</v>
      </c>
      <c r="O33" s="1" t="n"/>
      <c r="P33" s="1" t="n"/>
      <c r="Q33" s="1" t="n"/>
      <c r="R33" s="1" t="n"/>
      <c r="S33" s="1" t="inlineStr">
        <is>
          <t>NY Stationary (stays in NY inventory)</t>
        </is>
      </c>
      <c r="T33" s="1" t="n"/>
      <c r="U33" s="3" t="n">
        <v>98</v>
      </c>
      <c r="V33" s="1">
        <f>IF($K33="To be purchased",COUNTIF($K$2:$K33,"To be purchased"),"")</f>
        <v/>
      </c>
    </row>
    <row r="34">
      <c r="A34" s="1" t="inlineStr">
        <is>
          <t>Power &amp; Switching</t>
        </is>
      </c>
      <c r="B34" s="2" t="inlineStr">
        <is>
          <t>Enclosure - Sander Latch Indication LED (3D printed)</t>
        </is>
      </c>
      <c r="C34" s="2" t="inlineStr">
        <is>
          <t>10-I Indication Lights &amp; LEDs</t>
        </is>
      </c>
      <c r="D34" s="1" t="inlineStr">
        <is>
          <t>SANKALP</t>
        </is>
      </c>
      <c r="E34" s="1" t="inlineStr">
        <is>
          <t>1</t>
        </is>
      </c>
      <c r="F34" s="1" t="inlineStr">
        <is>
          <t>India</t>
        </is>
      </c>
      <c r="G34" s="1" t="n"/>
      <c r="H34" s="1" t="inlineStr">
        <is>
          <t>No</t>
        </is>
      </c>
      <c r="I34" s="1" t="n"/>
      <c r="J34" s="1" t="n"/>
      <c r="K34" s="1" t="inlineStr">
        <is>
          <t>To be Printed</t>
        </is>
      </c>
      <c r="L34" s="3" t="n">
        <v>10</v>
      </c>
      <c r="M34" s="4" t="b">
        <v>0</v>
      </c>
      <c r="N34" s="3" t="n">
        <v>5</v>
      </c>
      <c r="O34" s="1" t="n"/>
      <c r="P34" s="1" t="n"/>
      <c r="Q34" s="1" t="inlineStr">
        <is>
          <t>SANDER LATCH INDICATION LED ENCLOSURE</t>
        </is>
      </c>
      <c r="R34" s="1" t="n"/>
      <c r="S34" s="1" t="n"/>
      <c r="T34" s="1" t="n"/>
      <c r="U34" s="3" t="n">
        <v>431</v>
      </c>
      <c r="V34" s="1">
        <f>IF($K34="To be purchased",COUNTIF($K$2:$K34,"To be purchased"),"")</f>
        <v/>
      </c>
    </row>
    <row r="35">
      <c r="A35" s="1" t="inlineStr">
        <is>
          <t>Power &amp; Switching</t>
        </is>
      </c>
      <c r="B35" s="2" t="inlineStr">
        <is>
          <t>LED - CREE XHP70D-00-0000-0D0BP450E - EOA LED Lights with PCBS</t>
        </is>
      </c>
      <c r="C35" s="2" t="inlineStr">
        <is>
          <t>10-I Indication Lights &amp; LEDs</t>
        </is>
      </c>
      <c r="D35" s="1" t="inlineStr">
        <is>
          <t>Uttez</t>
        </is>
      </c>
      <c r="E35" s="1" t="n">
        <v>10</v>
      </c>
      <c r="F35" s="1" t="inlineStr">
        <is>
          <t>India</t>
        </is>
      </c>
      <c r="G35" s="1" t="n"/>
      <c r="H35" s="1" t="inlineStr">
        <is>
          <t>Yes</t>
        </is>
      </c>
      <c r="I35" s="1" t="n"/>
      <c r="J35" s="6">
        <f>IFERROR(HYPERLINK("https://docs.google.com/spreadsheets/d/10M8oEMfSST-xuPwcSARfQDNcQJ0xrCp8O9iHBGPAr34/edit?gid=1956219685&amp;range=A"&amp;MATCH("PR-2026-1390",'PR Lookup'!A:A,0),"PR-2026-1390"),"PR-2026-1390")</f>
        <v/>
      </c>
      <c r="K35" s="1" t="inlineStr">
        <is>
          <t>Payment Done</t>
        </is>
      </c>
      <c r="L35" s="3" t="n">
        <v>10</v>
      </c>
      <c r="M35" s="4" t="b">
        <v>0</v>
      </c>
      <c r="N35" s="3" t="n">
        <v>5</v>
      </c>
      <c r="O35" s="1" t="n"/>
      <c r="P35" s="1" t="inlineStr">
        <is>
          <t>IQC : LED glow at 12V DC input</t>
        </is>
      </c>
      <c r="Q35" s="1" t="n"/>
      <c r="R35" s="1" t="n"/>
      <c r="S35" s="1" t="inlineStr">
        <is>
          <t>Mobile (travels with robot)</t>
        </is>
      </c>
      <c r="T35" s="2" t="inlineStr">
        <is>
          <t>Also stocked in: Tool Spares / Sander EBOM. Kept separate on purpose - one per box.</t>
        </is>
      </c>
      <c r="U35" s="3" t="n">
        <v>442</v>
      </c>
      <c r="V35" s="1">
        <f>IF($K35="To be purchased",COUNTIF($K$2:$K35,"To be purchased"),"")</f>
        <v/>
      </c>
    </row>
    <row r="36">
      <c r="A36" s="1" t="inlineStr">
        <is>
          <t>Power &amp; Switching</t>
        </is>
      </c>
      <c r="B36" s="2" t="inlineStr">
        <is>
          <t>LED - CREE XHP70D-00-0000-0D0BP450E  EOA Light Set for Sander Vision</t>
        </is>
      </c>
      <c r="C36" s="2" t="inlineStr">
        <is>
          <t>10-I Indication Lights &amp; LEDs</t>
        </is>
      </c>
      <c r="D36" s="1" t="inlineStr">
        <is>
          <t>Uttez</t>
        </is>
      </c>
      <c r="E36" s="1" t="n">
        <v>2</v>
      </c>
      <c r="F36" s="1" t="inlineStr">
        <is>
          <t>India</t>
        </is>
      </c>
      <c r="G36" s="1" t="n"/>
      <c r="H36" s="1" t="inlineStr">
        <is>
          <t>No</t>
        </is>
      </c>
      <c r="I36" s="1" t="n"/>
      <c r="J36" s="1" t="n"/>
      <c r="K36" s="1" t="inlineStr">
        <is>
          <t>To be Prepared</t>
        </is>
      </c>
      <c r="L36" s="3" t="n">
        <v>10</v>
      </c>
      <c r="M36" s="4" t="b">
        <v>0</v>
      </c>
      <c r="N36" s="3" t="n">
        <v>5</v>
      </c>
      <c r="O36" s="1" t="n"/>
      <c r="P36" s="1" t="n"/>
      <c r="Q36" s="1" t="n"/>
      <c r="R36" s="1" t="n"/>
      <c r="S36" s="1" t="inlineStr">
        <is>
          <t>Mobile (travels with robot)</t>
        </is>
      </c>
      <c r="T36" s="2" t="inlineStr">
        <is>
          <t>[POSSIBLE DUPLICATE of source row 442. Previous status: IQC Stage] Also stocked in: Tool Spares / Sprayer EBOM. Kept separate on purpose - one per box.</t>
        </is>
      </c>
      <c r="U36" s="3" t="n">
        <v>455</v>
      </c>
      <c r="V36" s="1">
        <f>IF($K36="To be purchased",COUNTIF($K$2:$K36,"To be purchased"),"")</f>
        <v/>
      </c>
    </row>
    <row r="37">
      <c r="A37" s="1" t="inlineStr">
        <is>
          <t>Power &amp; Switching</t>
        </is>
      </c>
      <c r="B37" s="2" t="inlineStr">
        <is>
          <t>LED - CREE XHP70D-00-0000-0D0BP450E  EOA Light Set for Sprayer Vision</t>
        </is>
      </c>
      <c r="C37" s="2" t="inlineStr">
        <is>
          <t>10-I Indication Lights &amp; LEDs</t>
        </is>
      </c>
      <c r="D37" s="1" t="inlineStr">
        <is>
          <t>Uttez</t>
        </is>
      </c>
      <c r="E37" s="1" t="n">
        <v>2</v>
      </c>
      <c r="F37" s="1" t="inlineStr">
        <is>
          <t>India</t>
        </is>
      </c>
      <c r="G37" s="1" t="n"/>
      <c r="H37" s="1" t="inlineStr">
        <is>
          <t>No</t>
        </is>
      </c>
      <c r="I37" s="1" t="n"/>
      <c r="J37" s="1" t="n"/>
      <c r="K37" s="1" t="inlineStr">
        <is>
          <t>In stock</t>
        </is>
      </c>
      <c r="L37" s="3" t="n">
        <v>10</v>
      </c>
      <c r="M37" s="4" t="b">
        <v>0</v>
      </c>
      <c r="N37" s="3" t="n">
        <v>5</v>
      </c>
      <c r="O37" s="1" t="n"/>
      <c r="P37" s="1" t="n"/>
      <c r="Q37" s="1" t="n"/>
      <c r="R37" s="1" t="n"/>
      <c r="S37" s="1" t="n"/>
      <c r="T37" s="1" t="n"/>
      <c r="U37" s="1" t="n"/>
      <c r="V37" s="1" t="n"/>
    </row>
    <row r="38">
      <c r="A38" s="1" t="inlineStr">
        <is>
          <t>Power &amp; Switching</t>
        </is>
      </c>
      <c r="B38" s="2" t="inlineStr">
        <is>
          <t>Indicator LED - Red, 3PLBR4L-024 - TS comms / latch, sander &amp; sprayer</t>
        </is>
      </c>
      <c r="C38" s="2" t="inlineStr">
        <is>
          <t>10-I Indication Lights &amp; LEDs</t>
        </is>
      </c>
      <c r="D38" s="1" t="inlineStr">
        <is>
          <t>Uttez</t>
        </is>
      </c>
      <c r="E38" s="1" t="n">
        <v>4</v>
      </c>
      <c r="F38" s="1" t="inlineStr">
        <is>
          <t>India</t>
        </is>
      </c>
      <c r="G38" s="1" t="n"/>
      <c r="H38" s="1" t="inlineStr">
        <is>
          <t>Yes</t>
        </is>
      </c>
      <c r="I38" s="1" t="n"/>
      <c r="J38" s="6">
        <f>IFERROR(HYPERLINK("https://docs.google.com/spreadsheets/d/10M8oEMfSST-xuPwcSARfQDNcQJ0xrCp8O9iHBGPAr34/edit?gid=1956219685&amp;range=A"&amp;MATCH("PR-2026-1618",'PR Lookup'!A:A,0),"PR-2026-1618"),"PR-2026-1618")</f>
        <v/>
      </c>
      <c r="K38" s="1" t="inlineStr">
        <is>
          <t>In stock</t>
        </is>
      </c>
      <c r="L38" s="3" t="n">
        <v>10</v>
      </c>
      <c r="M38" s="4" t="b">
        <v>0</v>
      </c>
      <c r="N38" s="3" t="n">
        <v>5</v>
      </c>
      <c r="O38" s="1" t="n"/>
      <c r="P38" s="1" t="inlineStr">
        <is>
          <t>IQC : 24V Input LED GLow</t>
        </is>
      </c>
      <c r="Q38" s="1" t="n"/>
      <c r="R38" s="1" t="n"/>
      <c r="S38" s="1" t="inlineStr">
        <is>
          <t>Mobile (travels with robot)</t>
        </is>
      </c>
      <c r="T38" s="2" t="inlineStr">
        <is>
          <t>Also stocked in: Tool Spares / Sprayer EBOM. Kept separate on purpose - one per box.</t>
        </is>
      </c>
      <c r="U38" s="3" t="n">
        <v>476</v>
      </c>
      <c r="V38" s="1">
        <f>IF($K38="To be purchased",COUNTIF($K$2:$K38,"To be purchased"),"")</f>
        <v/>
      </c>
    </row>
    <row r="39">
      <c r="A39" s="1" t="inlineStr">
        <is>
          <t>Power &amp; Switching</t>
        </is>
      </c>
      <c r="B39" s="2" t="inlineStr">
        <is>
          <t>Fan - Sunon 80 x 25 mm, 24 V DC - MoMa, OST, TS Sander</t>
        </is>
      </c>
      <c r="C39" s="2" t="inlineStr">
        <is>
          <t>10-J Fans &amp; Cooling</t>
        </is>
      </c>
      <c r="D39" s="1" t="inlineStr">
        <is>
          <t>Badri</t>
        </is>
      </c>
      <c r="E39" s="7" t="n">
        <v>5</v>
      </c>
      <c r="F39" s="1" t="inlineStr">
        <is>
          <t>India</t>
        </is>
      </c>
      <c r="G39" s="1" t="n"/>
      <c r="H39" s="1" t="inlineStr">
        <is>
          <t>No</t>
        </is>
      </c>
      <c r="I39" s="5" t="n"/>
      <c r="J39" s="6">
        <f>IFERROR(HYPERLINK("https://docs.google.com/spreadsheets/d/10M8oEMfSST-xuPwcSARfQDNcQJ0xrCp8O9iHBGPAr34/edit?gid=1956219685&amp;range=A"&amp;MATCH("PR-2026-1659",'PR Lookup'!A:A,0),"PR-2026-1659"),"PR-2026-1659")</f>
        <v/>
      </c>
      <c r="K39" s="1" t="inlineStr">
        <is>
          <t>PR Raised</t>
        </is>
      </c>
      <c r="L39" s="3" t="n">
        <v>10</v>
      </c>
      <c r="M39" s="4" t="b">
        <v>0</v>
      </c>
      <c r="N39" s="3" t="n">
        <v>5</v>
      </c>
      <c r="O39" s="1" t="n"/>
      <c r="P39" s="1" t="n"/>
      <c r="Q39" s="1" t="n"/>
      <c r="R39" s="1" t="n"/>
      <c r="S39" s="1" t="inlineStr">
        <is>
          <t>Mobile (travels with robot)</t>
        </is>
      </c>
      <c r="T39" s="1" t="n"/>
      <c r="U39" s="3" t="n">
        <v>66</v>
      </c>
      <c r="V39" s="1">
        <f>IF($K39="To be purchased",COUNTIF($K$2:$K39,"To be purchased"),"")</f>
        <v/>
      </c>
    </row>
    <row r="40">
      <c r="A40" s="1" t="inlineStr">
        <is>
          <t>Power &amp; Switching</t>
        </is>
      </c>
      <c r="B40" s="2" t="inlineStr">
        <is>
          <t>Fan - Sunon 80 x 25 mm, 12 V DC - cooling</t>
        </is>
      </c>
      <c r="C40" s="2" t="inlineStr">
        <is>
          <t>10-J Fans &amp; Cooling</t>
        </is>
      </c>
      <c r="D40" s="1" t="inlineStr">
        <is>
          <t>Badri</t>
        </is>
      </c>
      <c r="E40" s="1" t="inlineStr">
        <is>
          <t>2</t>
        </is>
      </c>
      <c r="F40" s="1" t="inlineStr">
        <is>
          <t>India</t>
        </is>
      </c>
      <c r="G40" s="1" t="n"/>
      <c r="H40" s="1" t="inlineStr">
        <is>
          <t>No</t>
        </is>
      </c>
      <c r="I40" s="1" t="n"/>
      <c r="J40" s="1" t="n"/>
      <c r="K40" s="1" t="inlineStr">
        <is>
          <t>IQC Stage</t>
        </is>
      </c>
      <c r="L40" s="3" t="n">
        <v>10</v>
      </c>
      <c r="M40" s="4" t="b">
        <v>0</v>
      </c>
      <c r="N40" s="3" t="n">
        <v>5</v>
      </c>
      <c r="O40" s="1" t="n"/>
      <c r="P40" s="1" t="n"/>
      <c r="Q40" s="1" t="n"/>
      <c r="R40" s="1" t="n"/>
      <c r="S40" s="1" t="inlineStr">
        <is>
          <t>Mobile (travels with robot)</t>
        </is>
      </c>
      <c r="T40" s="1" t="n"/>
      <c r="U40" s="3" t="n">
        <v>89</v>
      </c>
      <c r="V40" s="1">
        <f>IF($K40="To be purchased",COUNTIF($K$2:$K40,"To be purchased"),"")</f>
        <v/>
      </c>
    </row>
    <row r="41">
      <c r="A41" s="1" t="inlineStr">
        <is>
          <t>Power &amp; Switching</t>
        </is>
      </c>
      <c r="B41" s="2" t="inlineStr">
        <is>
          <t>Fan - 35 x 35 X 10 mm, 12 V DC, MF35101V1 - cooling</t>
        </is>
      </c>
      <c r="C41" s="2" t="inlineStr">
        <is>
          <t>10-J Fans &amp; Cooling</t>
        </is>
      </c>
      <c r="D41" s="1" t="inlineStr">
        <is>
          <t>Badri</t>
        </is>
      </c>
      <c r="E41" s="7" t="n">
        <v>3</v>
      </c>
      <c r="F41" s="1" t="inlineStr">
        <is>
          <t>India</t>
        </is>
      </c>
      <c r="G41" s="1" t="n"/>
      <c r="H41" s="1" t="inlineStr">
        <is>
          <t>No</t>
        </is>
      </c>
      <c r="I41" s="5" t="n"/>
      <c r="J41" s="6">
        <f>IFERROR(HYPERLINK("https://docs.google.com/spreadsheets/d/10M8oEMfSST-xuPwcSARfQDNcQJ0xrCp8O9iHBGPAr34/edit?gid=1956219685&amp;range=A"&amp;MATCH("PR-2026-1659",'PR Lookup'!A:A,0),"PR-2026-1659"),"PR-2026-1659")</f>
        <v/>
      </c>
      <c r="K41" s="1" t="inlineStr">
        <is>
          <t>PR Raised</t>
        </is>
      </c>
      <c r="L41" s="3" t="n">
        <v>10</v>
      </c>
      <c r="M41" s="4" t="b">
        <v>0</v>
      </c>
      <c r="N41" s="3" t="n">
        <v>5</v>
      </c>
      <c r="O41" s="1" t="n"/>
      <c r="P41" s="1" t="n"/>
      <c r="Q41" s="1" t="n"/>
      <c r="R41" s="1" t="n"/>
      <c r="S41" s="1" t="inlineStr">
        <is>
          <t>Mobile (travels with robot)</t>
        </is>
      </c>
      <c r="T41" s="1" t="n"/>
      <c r="U41" s="3" t="n">
        <v>90</v>
      </c>
      <c r="V41" s="1">
        <f>IF($K41="To be purchased",COUNTIF($K$2:$K41,"To be purchased"),"")</f>
        <v/>
      </c>
    </row>
    <row r="42">
      <c r="A42" s="1" t="inlineStr">
        <is>
          <t>Power &amp; Switching</t>
        </is>
      </c>
      <c r="B42" s="2" t="inlineStr">
        <is>
          <t>Fan - Cooling - HHM 30x30 12V</t>
        </is>
      </c>
      <c r="C42" s="2" t="inlineStr">
        <is>
          <t>10-J Fans &amp; Cooling</t>
        </is>
      </c>
      <c r="D42" s="1" t="inlineStr">
        <is>
          <t>Uttez</t>
        </is>
      </c>
      <c r="E42" s="1" t="inlineStr">
        <is>
          <t>2</t>
        </is>
      </c>
      <c r="F42" s="1" t="inlineStr">
        <is>
          <t>India</t>
        </is>
      </c>
      <c r="G42" s="1" t="n"/>
      <c r="H42" s="1" t="inlineStr">
        <is>
          <t>No</t>
        </is>
      </c>
      <c r="I42" s="1" t="n"/>
      <c r="J42" s="1" t="n"/>
      <c r="K42" s="1" t="inlineStr">
        <is>
          <t>In stock</t>
        </is>
      </c>
      <c r="L42" s="3" t="n">
        <v>10</v>
      </c>
      <c r="M42" s="4" t="b">
        <v>0</v>
      </c>
      <c r="N42" s="3" t="n">
        <v>5</v>
      </c>
      <c r="O42" s="1" t="n"/>
      <c r="P42" s="1" t="n"/>
      <c r="Q42" s="1" t="n"/>
      <c r="R42" s="1" t="n"/>
      <c r="S42" s="1" t="inlineStr">
        <is>
          <t>Mobile (travels with robot)</t>
        </is>
      </c>
      <c r="T42" s="2" t="inlineStr">
        <is>
          <t>[POSSIBLE DUPLICATE of source row 66. Previous status: IQC Stage]</t>
        </is>
      </c>
      <c r="U42" s="3" t="n">
        <v>158</v>
      </c>
      <c r="V42" s="1">
        <f>IF($K42="To be purchased",COUNTIF($K$2:$K42,"To be purchased"),"")</f>
        <v/>
      </c>
    </row>
    <row r="43">
      <c r="A43" s="1" t="inlineStr">
        <is>
          <t>Sensors</t>
        </is>
      </c>
      <c r="B43" s="2" t="inlineStr">
        <is>
          <t>Lidar - 2D, SL450</t>
        </is>
      </c>
      <c r="C43" s="2" t="inlineStr">
        <is>
          <t>11-A Lidars</t>
        </is>
      </c>
      <c r="D43" s="1" t="inlineStr">
        <is>
          <t>Badri</t>
        </is>
      </c>
      <c r="E43" s="1" t="inlineStr">
        <is>
          <t>2</t>
        </is>
      </c>
      <c r="F43" s="1" t="inlineStr">
        <is>
          <t>India</t>
        </is>
      </c>
      <c r="G43" s="1" t="n"/>
      <c r="H43" s="1" t="inlineStr">
        <is>
          <t>No</t>
        </is>
      </c>
      <c r="I43" s="1" t="n"/>
      <c r="J43" s="1" t="n"/>
      <c r="K43" s="1" t="inlineStr">
        <is>
          <t>IQC Stage</t>
        </is>
      </c>
      <c r="L43" s="3" t="n">
        <v>11</v>
      </c>
      <c r="M43" s="4" t="b">
        <v>0</v>
      </c>
      <c r="N43" s="3" t="n">
        <v>5</v>
      </c>
      <c r="O43" s="1" t="n"/>
      <c r="P43" s="1" t="n"/>
      <c r="Q43" s="1" t="n"/>
      <c r="R43" s="1" t="n"/>
      <c r="S43" s="1" t="inlineStr">
        <is>
          <t>NY Stationary (stays in NY inventory)</t>
        </is>
      </c>
      <c r="T43" s="1" t="n"/>
      <c r="U43" s="3" t="n">
        <v>42</v>
      </c>
      <c r="V43" s="1">
        <f>IF($K43="To be purchased",COUNTIF($K$2:$K43,"To be purchased"),"")</f>
        <v/>
      </c>
    </row>
    <row r="44">
      <c r="A44" s="1" t="inlineStr">
        <is>
          <t>Sensors</t>
        </is>
      </c>
      <c r="B44" s="2" t="inlineStr">
        <is>
          <t>Lidar - Solid State, YDLidar GS2</t>
        </is>
      </c>
      <c r="C44" s="2" t="inlineStr">
        <is>
          <t>11-A Lidars</t>
        </is>
      </c>
      <c r="D44" s="1" t="inlineStr">
        <is>
          <t>Badri</t>
        </is>
      </c>
      <c r="E44" s="7" t="n">
        <v>2</v>
      </c>
      <c r="F44" s="1" t="inlineStr">
        <is>
          <t>India</t>
        </is>
      </c>
      <c r="G44" s="1" t="n"/>
      <c r="H44" s="1" t="inlineStr">
        <is>
          <t>No</t>
        </is>
      </c>
      <c r="I44" s="1" t="n"/>
      <c r="J44" s="1" t="n"/>
      <c r="K44" s="1" t="inlineStr">
        <is>
          <t>PR Raised</t>
        </is>
      </c>
      <c r="L44" s="3" t="n">
        <v>11</v>
      </c>
      <c r="M44" s="4" t="b">
        <v>0</v>
      </c>
      <c r="N44" s="3" t="n">
        <v>5</v>
      </c>
      <c r="O44" s="1" t="n"/>
      <c r="P44" s="1" t="n"/>
      <c r="Q44" s="1" t="n"/>
      <c r="R44" s="1" t="n"/>
      <c r="S44" s="1" t="inlineStr">
        <is>
          <t>NY Stationary (stays in NY inventory)</t>
        </is>
      </c>
      <c r="T44" s="1" t="n"/>
      <c r="U44" s="3" t="n">
        <v>43</v>
      </c>
      <c r="V44" s="1">
        <f>IF($K44="To be purchased",COUNTIF($K$2:$K44,"To be purchased"),"")</f>
        <v/>
      </c>
    </row>
    <row r="45">
      <c r="A45" s="1" t="inlineStr">
        <is>
          <t>Sensors</t>
        </is>
      </c>
      <c r="B45" s="2" t="inlineStr">
        <is>
          <t>Lidar - Solid State Driver Board, YDLidar GS2</t>
        </is>
      </c>
      <c r="C45" s="2" t="inlineStr">
        <is>
          <t>11-A Lidars</t>
        </is>
      </c>
      <c r="D45" s="1" t="inlineStr">
        <is>
          <t>Badri</t>
        </is>
      </c>
      <c r="E45" s="1" t="n">
        <v>1</v>
      </c>
      <c r="F45" s="1" t="inlineStr">
        <is>
          <t>India</t>
        </is>
      </c>
      <c r="G45" s="1" t="n"/>
      <c r="H45" s="1" t="inlineStr">
        <is>
          <t>No</t>
        </is>
      </c>
      <c r="I45" s="1" t="n"/>
      <c r="J45" s="1" t="n"/>
      <c r="K45" s="1" t="inlineStr">
        <is>
          <t>IQC Stage</t>
        </is>
      </c>
      <c r="L45" s="3" t="n">
        <v>11</v>
      </c>
      <c r="M45" s="4" t="b">
        <v>0</v>
      </c>
      <c r="N45" s="3" t="n">
        <v>5</v>
      </c>
      <c r="O45" s="1" t="n"/>
      <c r="P45" s="1" t="n"/>
      <c r="Q45" s="1" t="n"/>
      <c r="R45" s="1" t="n"/>
      <c r="S45" s="1" t="inlineStr">
        <is>
          <t>NY Stationary (stays in NY inventory)</t>
        </is>
      </c>
      <c r="T45" s="1" t="n"/>
      <c r="U45" s="3" t="n">
        <v>44</v>
      </c>
      <c r="V45" s="1">
        <f>IF($K45="To be purchased",COUNTIF($K$2:$K45,"To be purchased"),"")</f>
        <v/>
      </c>
    </row>
    <row r="46">
      <c r="A46" s="1" t="inlineStr">
        <is>
          <t>Sensors</t>
        </is>
      </c>
      <c r="B46" s="2" t="inlineStr">
        <is>
          <t>Lidar - 3D, Airy96</t>
        </is>
      </c>
      <c r="C46" s="2" t="inlineStr">
        <is>
          <t>11-A Lidars</t>
        </is>
      </c>
      <c r="D46" s="1" t="inlineStr">
        <is>
          <t>Badri</t>
        </is>
      </c>
      <c r="E46" s="1" t="n">
        <v>2</v>
      </c>
      <c r="F46" s="1" t="inlineStr">
        <is>
          <t>India</t>
        </is>
      </c>
      <c r="G46" s="1" t="n"/>
      <c r="H46" s="1" t="inlineStr">
        <is>
          <t>Yes</t>
        </is>
      </c>
      <c r="I46" s="5" t="n"/>
      <c r="J46" s="6">
        <f>IFERROR(HYPERLINK("https://docs.google.com/spreadsheets/d/10M8oEMfSST-xuPwcSARfQDNcQJ0xrCp8O9iHBGPAr34/edit?gid=1956219685&amp;range=A"&amp;MATCH("PR-2026-1683",'PR Lookup'!A:A,0),"PR-2026-1683"),"PR-2026-1683")</f>
        <v/>
      </c>
      <c r="K46" s="1" t="inlineStr">
        <is>
          <t>PR Raised</t>
        </is>
      </c>
      <c r="L46" s="3" t="n">
        <v>11</v>
      </c>
      <c r="M46" s="4" t="b">
        <v>0</v>
      </c>
      <c r="N46" s="3" t="n">
        <v>5</v>
      </c>
      <c r="O46" s="1" t="n"/>
      <c r="P46" s="1" t="n"/>
      <c r="Q46" s="1" t="n"/>
      <c r="R46" s="1" t="n"/>
      <c r="S46" s="1" t="inlineStr">
        <is>
          <t>Mobile (travels with robot)</t>
        </is>
      </c>
      <c r="T46" s="1" t="n"/>
      <c r="U46" s="3" t="n">
        <v>83</v>
      </c>
      <c r="V46" s="1">
        <f>IF($K46="To be purchased",COUNTIF($K$2:$K46,"To be purchased"),"")</f>
        <v/>
      </c>
    </row>
    <row r="47">
      <c r="A47" s="8" t="inlineStr">
        <is>
          <t>Sensors</t>
        </is>
      </c>
      <c r="B47" s="9" t="inlineStr">
        <is>
          <t>Mount - 2D Lidar (metal, bend + weld)</t>
        </is>
      </c>
      <c r="C47" s="9" t="inlineStr">
        <is>
          <t>11-B Lidar &amp; Camera Mounts</t>
        </is>
      </c>
      <c r="D47" s="8" t="inlineStr">
        <is>
          <t>Kaustubh</t>
        </is>
      </c>
      <c r="E47" s="8" t="inlineStr">
        <is>
          <t>2</t>
        </is>
      </c>
      <c r="F47" s="8" t="inlineStr">
        <is>
          <t>India</t>
        </is>
      </c>
      <c r="G47" s="8" t="n"/>
      <c r="H47" s="8" t="inlineStr">
        <is>
          <t>No</t>
        </is>
      </c>
      <c r="I47" s="5" t="n"/>
      <c r="J47" s="6">
        <f>IFERROR(HYPERLINK("https://docs.google.com/spreadsheets/d/10M8oEMfSST-xuPwcSARfQDNcQJ0xrCp8O9iHBGPAr34/edit?gid=1956219685&amp;range=A"&amp;MATCH("PR-2026-1638",'PR Lookup'!A:A,0),"PR-2026-1638"),"PR-2026-1638")</f>
        <v/>
      </c>
      <c r="K47" s="8" t="inlineStr">
        <is>
          <t>PR Raised</t>
        </is>
      </c>
      <c r="L47" s="10" t="n">
        <v>11</v>
      </c>
      <c r="M47" s="11" t="b">
        <v>0</v>
      </c>
      <c r="N47" s="10" t="n">
        <v>5</v>
      </c>
      <c r="O47" s="8" t="n"/>
      <c r="P47" s="8" t="n"/>
      <c r="Q47" s="8" t="n"/>
      <c r="R47" s="8" t="n"/>
      <c r="S47" s="8" t="inlineStr">
        <is>
          <t>Mobile (travels with robot)</t>
        </is>
      </c>
      <c r="T47" s="9" t="inlineStr">
        <is>
          <t>3D printed when needed</t>
        </is>
      </c>
      <c r="U47" s="10" t="n">
        <v>101</v>
      </c>
      <c r="V47" s="8">
        <f>IF($K47="To be purchased",COUNTIF($K$2:$K47,"To be purchased"),"")</f>
        <v/>
      </c>
    </row>
    <row r="48">
      <c r="A48" s="1" t="inlineStr">
        <is>
          <t>Sensors</t>
        </is>
      </c>
      <c r="B48" s="2" t="inlineStr">
        <is>
          <t>Mount - Solid State Lidar (3D printed + metal)</t>
        </is>
      </c>
      <c r="C48" s="2" t="inlineStr">
        <is>
          <t>11-B Lidar &amp; Camera Mounts</t>
        </is>
      </c>
      <c r="D48" s="1" t="inlineStr">
        <is>
          <t>Kaustubh</t>
        </is>
      </c>
      <c r="E48" s="1" t="inlineStr">
        <is>
          <t>2</t>
        </is>
      </c>
      <c r="F48" s="1" t="inlineStr">
        <is>
          <t>India</t>
        </is>
      </c>
      <c r="G48" s="1" t="n"/>
      <c r="H48" s="1" t="inlineStr">
        <is>
          <t>No</t>
        </is>
      </c>
      <c r="I48" s="5" t="n"/>
      <c r="J48" s="6">
        <f>IFERROR(HYPERLINK("https://docs.google.com/spreadsheets/d/10M8oEMfSST-xuPwcSARfQDNcQJ0xrCp8O9iHBGPAr34/edit?gid=1956219685&amp;range=A"&amp;MATCH("PR-2026-1638",'PR Lookup'!A:A,0),"PR-2026-1638"),"PR-2026-1638")</f>
        <v/>
      </c>
      <c r="K48" s="1" t="inlineStr">
        <is>
          <t>PR Raised</t>
        </is>
      </c>
      <c r="L48" s="3" t="n">
        <v>11</v>
      </c>
      <c r="M48" s="4" t="b">
        <v>0</v>
      </c>
      <c r="N48" s="3" t="n">
        <v>5</v>
      </c>
      <c r="O48" s="1" t="n"/>
      <c r="P48" s="1" t="n"/>
      <c r="Q48" s="1" t="n"/>
      <c r="R48" s="1" t="n"/>
      <c r="S48" s="1" t="inlineStr">
        <is>
          <t>Mobile (travels with robot)</t>
        </is>
      </c>
      <c r="T48" s="1" t="n"/>
      <c r="U48" s="3" t="n">
        <v>107</v>
      </c>
      <c r="V48" s="1">
        <f>IF($K48="To be purchased",COUNTIF($K$2:$K48,"To be purchased"),"")</f>
        <v/>
      </c>
    </row>
    <row r="49">
      <c r="A49" s="1" t="inlineStr">
        <is>
          <t>Diagnostic &amp; repair tools</t>
        </is>
      </c>
      <c r="B49" s="2" t="inlineStr">
        <is>
          <t>Crimping Tool - Anderson</t>
        </is>
      </c>
      <c r="C49" s="2" t="inlineStr">
        <is>
          <t>13-K Crimping Tools</t>
        </is>
      </c>
      <c r="D49" s="1" t="inlineStr">
        <is>
          <t>Badri</t>
        </is>
      </c>
      <c r="E49" s="1" t="inlineStr">
        <is>
          <t>1</t>
        </is>
      </c>
      <c r="F49" s="1" t="inlineStr">
        <is>
          <t>India</t>
        </is>
      </c>
      <c r="G49" s="1" t="n"/>
      <c r="H49" s="1" t="inlineStr">
        <is>
          <t>No</t>
        </is>
      </c>
      <c r="I49" s="1" t="n"/>
      <c r="J49" s="1" t="n"/>
      <c r="K49" s="1" t="inlineStr">
        <is>
          <t>PR Raised</t>
        </is>
      </c>
      <c r="L49" s="3" t="n">
        <v>13</v>
      </c>
      <c r="M49" s="4" t="b">
        <v>0</v>
      </c>
      <c r="N49" s="3" t="n">
        <v>5</v>
      </c>
      <c r="O49" s="1" t="n"/>
      <c r="P49" s="1" t="n"/>
      <c r="Q49" s="1" t="inlineStr">
        <is>
          <t>https://amzn.in/d/08CQR2eu</t>
        </is>
      </c>
      <c r="R49" s="1" t="n"/>
      <c r="S49" s="1" t="n"/>
      <c r="T49" s="2" t="inlineStr">
        <is>
          <t>Detail: For JST-XA and JST-SM crimps.</t>
        </is>
      </c>
      <c r="U49" s="3" t="n">
        <v>560</v>
      </c>
      <c r="V49" s="1">
        <f>IF($K49="To be purchased",COUNTIF($K$2:$K49,"To be purchased"),"")</f>
        <v/>
      </c>
    </row>
    <row r="50">
      <c r="A50" s="1" t="inlineStr">
        <is>
          <t>Sensors</t>
        </is>
      </c>
      <c r="B50" s="2" t="inlineStr">
        <is>
          <t>Mount - Side Camera (3D printed)</t>
        </is>
      </c>
      <c r="C50" s="2" t="inlineStr">
        <is>
          <t>11-B Lidar &amp; Camera Mounts</t>
        </is>
      </c>
      <c r="D50" s="1" t="inlineStr">
        <is>
          <t>Kaustubh</t>
        </is>
      </c>
      <c r="E50" s="1" t="inlineStr">
        <is>
          <t>2</t>
        </is>
      </c>
      <c r="F50" s="1" t="inlineStr">
        <is>
          <t>India</t>
        </is>
      </c>
      <c r="G50" s="1" t="n"/>
      <c r="H50" s="1" t="inlineStr">
        <is>
          <t>No</t>
        </is>
      </c>
      <c r="I50" s="1" t="n"/>
      <c r="J50" s="1" t="n"/>
      <c r="K50" s="1" t="inlineStr">
        <is>
          <t>To be Printed</t>
        </is>
      </c>
      <c r="L50" s="3" t="n">
        <v>11</v>
      </c>
      <c r="M50" s="4" t="b">
        <v>0</v>
      </c>
      <c r="N50" s="3" t="n">
        <v>5</v>
      </c>
      <c r="O50" s="1" t="n"/>
      <c r="P50" s="1" t="n"/>
      <c r="Q50" s="1" t="n"/>
      <c r="R50" s="1" t="n"/>
      <c r="S50" s="1" t="inlineStr">
        <is>
          <t>NY Stationary (stays in NY inventory)</t>
        </is>
      </c>
      <c r="T50" s="1" t="n"/>
      <c r="U50" s="3" t="n">
        <v>116</v>
      </c>
      <c r="V50" s="1">
        <f>IF($K50="To be purchased",COUNTIF($K$2:$K50,"To be purchased"),"")</f>
        <v/>
      </c>
    </row>
    <row r="51">
      <c r="A51" s="1" t="inlineStr">
        <is>
          <t>Sensors</t>
        </is>
      </c>
      <c r="B51" s="2" t="inlineStr">
        <is>
          <t>Camera - STURDeCAM25 - perception</t>
        </is>
      </c>
      <c r="C51" s="2" t="inlineStr">
        <is>
          <t>11-C Cameras &amp; Lenses</t>
        </is>
      </c>
      <c r="D51" s="1" t="inlineStr">
        <is>
          <t>Badri</t>
        </is>
      </c>
      <c r="E51" s="1" t="inlineStr">
        <is>
          <t>2</t>
        </is>
      </c>
      <c r="F51" s="1" t="inlineStr">
        <is>
          <t>India</t>
        </is>
      </c>
      <c r="G51" s="1" t="n"/>
      <c r="H51" s="1" t="inlineStr">
        <is>
          <t>Yes</t>
        </is>
      </c>
      <c r="I51" s="5" t="n"/>
      <c r="J51" s="6">
        <f>IFERROR(HYPERLINK("https://docs.google.com/spreadsheets/d/10M8oEMfSST-xuPwcSARfQDNcQJ0xrCp8O9iHBGPAr34/edit?gid=1956219685&amp;range=A"&amp;MATCH("PR-2026-1685",'PR Lookup'!A:A,0),"PR-2026-1685"),"PR-2026-1685")</f>
        <v/>
      </c>
      <c r="K51" s="1" t="inlineStr">
        <is>
          <t>PR Raised</t>
        </is>
      </c>
      <c r="L51" s="3" t="n">
        <v>11</v>
      </c>
      <c r="M51" s="4" t="b">
        <v>0</v>
      </c>
      <c r="N51" s="3" t="n">
        <v>5</v>
      </c>
      <c r="O51" s="1" t="n"/>
      <c r="P51" s="1" t="n"/>
      <c r="Q51" s="1" t="n"/>
      <c r="R51" s="1" t="n"/>
      <c r="S51" s="1" t="inlineStr">
        <is>
          <t>Mobile (travels with robot)</t>
        </is>
      </c>
      <c r="T51" s="1" t="n"/>
      <c r="U51" s="3" t="n">
        <v>84</v>
      </c>
      <c r="V51" s="1">
        <f>IF($K51="To be purchased",COUNTIF($K$2:$K51,"To be purchased"),"")</f>
        <v/>
      </c>
    </row>
    <row r="52">
      <c r="A52" s="1" t="inlineStr">
        <is>
          <t>Sensors</t>
        </is>
      </c>
      <c r="B52" s="2" t="inlineStr">
        <is>
          <t>Camera - Arducam MIPI-CSI2 B0579 - HHM</t>
        </is>
      </c>
      <c r="C52" s="2" t="inlineStr">
        <is>
          <t>11-C Cameras &amp; Lenses</t>
        </is>
      </c>
      <c r="D52" s="1" t="inlineStr">
        <is>
          <t>Uttez</t>
        </is>
      </c>
      <c r="E52" s="1" t="n">
        <v>1</v>
      </c>
      <c r="F52" s="1" t="inlineStr">
        <is>
          <t>India</t>
        </is>
      </c>
      <c r="G52" s="1" t="n"/>
      <c r="H52" s="1" t="inlineStr">
        <is>
          <t>No</t>
        </is>
      </c>
      <c r="I52" s="1" t="n"/>
      <c r="J52" s="1" t="n"/>
      <c r="K52" s="1" t="inlineStr">
        <is>
          <t>IQC Stage</t>
        </is>
      </c>
      <c r="L52" s="3" t="n">
        <v>11</v>
      </c>
      <c r="M52" s="4" t="b">
        <v>0</v>
      </c>
      <c r="N52" s="3" t="n">
        <v>5</v>
      </c>
      <c r="O52" s="1" t="n"/>
      <c r="P52" s="1" t="n"/>
      <c r="Q52" s="1" t="n"/>
      <c r="R52" s="1" t="n"/>
      <c r="S52" s="1" t="inlineStr">
        <is>
          <t>Mobile (travels with robot)</t>
        </is>
      </c>
      <c r="T52" s="1" t="n"/>
      <c r="U52" s="3" t="n">
        <v>139</v>
      </c>
      <c r="V52" s="1">
        <f>IF($K52="To be purchased",COUNTIF($K$2:$K52,"To be purchased"),"")</f>
        <v/>
      </c>
    </row>
    <row r="53">
      <c r="A53" s="1" t="inlineStr">
        <is>
          <t>Sensors</t>
        </is>
      </c>
      <c r="B53" s="2" t="inlineStr">
        <is>
          <t>Lens - Arducam M23325H12 - HHM</t>
        </is>
      </c>
      <c r="C53" s="2" t="inlineStr">
        <is>
          <t>11-C Cameras &amp; Lenses</t>
        </is>
      </c>
      <c r="D53" s="1" t="inlineStr">
        <is>
          <t>Uttez</t>
        </is>
      </c>
      <c r="E53" s="1" t="n">
        <v>1</v>
      </c>
      <c r="F53" s="1" t="inlineStr">
        <is>
          <t>India</t>
        </is>
      </c>
      <c r="G53" s="1" t="n"/>
      <c r="H53" s="1" t="inlineStr">
        <is>
          <t>Yes</t>
        </is>
      </c>
      <c r="I53" s="1" t="n"/>
      <c r="J53" s="6">
        <f>IFERROR(HYPERLINK("https://docs.google.com/spreadsheets/d/10M8oEMfSST-xuPwcSARfQDNcQJ0xrCp8O9iHBGPAr34/edit?gid=1956219685&amp;range=A"&amp;MATCH("PR-2026-1686",'PR Lookup'!A:A,0),"PR-2026-1686"),"PR-2026-1686")</f>
        <v/>
      </c>
      <c r="K53" s="1" t="inlineStr">
        <is>
          <t>IQC Stage</t>
        </is>
      </c>
      <c r="L53" s="3" t="n">
        <v>11</v>
      </c>
      <c r="M53" s="4" t="b">
        <v>0</v>
      </c>
      <c r="N53" s="3" t="n">
        <v>5</v>
      </c>
      <c r="O53" s="1" t="n"/>
      <c r="P53" s="1" t="n"/>
      <c r="Q53" s="1" t="n"/>
      <c r="R53" s="1" t="n"/>
      <c r="S53" s="1" t="inlineStr">
        <is>
          <t>Mobile (travels with robot)</t>
        </is>
      </c>
      <c r="T53" s="1" t="n"/>
      <c r="U53" s="3" t="n">
        <v>140</v>
      </c>
      <c r="V53" s="1">
        <f>IF($K53="To be purchased",COUNTIF($K$2:$K53,"To be purchased"),"")</f>
        <v/>
      </c>
    </row>
    <row r="54">
      <c r="A54" s="1" t="inlineStr">
        <is>
          <t>Sensors</t>
        </is>
      </c>
      <c r="B54" s="2" t="inlineStr">
        <is>
          <t>Assembly - EOA Sander Vision (custom, assembled)</t>
        </is>
      </c>
      <c r="C54" s="2" t="inlineStr">
        <is>
          <t>11-C Cameras &amp; Lenses</t>
        </is>
      </c>
      <c r="D54" s="1" t="inlineStr">
        <is>
          <t>SANKALP</t>
        </is>
      </c>
      <c r="E54" s="1" t="inlineStr">
        <is>
          <t>1</t>
        </is>
      </c>
      <c r="F54" s="1" t="inlineStr">
        <is>
          <t>India</t>
        </is>
      </c>
      <c r="G54" s="1" t="n"/>
      <c r="H54" s="1" t="inlineStr">
        <is>
          <t>Yes</t>
        </is>
      </c>
      <c r="I54" s="5" t="n"/>
      <c r="J54" s="6">
        <f>IFERROR(HYPERLINK("https://docs.google.com/spreadsheets/d/10M8oEMfSST-xuPwcSARfQDNcQJ0xrCp8O9iHBGPAr34/edit?gid=1956219685&amp;range=A"&amp;MATCH("PR-2026-1530",'PR Lookup'!A:A,0),"PR-2026-1530"),"PR-2026-1530")</f>
        <v/>
      </c>
      <c r="K54" s="1" t="inlineStr">
        <is>
          <t>In stock</t>
        </is>
      </c>
      <c r="L54" s="3" t="n">
        <v>11</v>
      </c>
      <c r="M54" s="4" t="b">
        <v>0</v>
      </c>
      <c r="N54" s="3" t="n">
        <v>5</v>
      </c>
      <c r="O54" s="1" t="n"/>
      <c r="P54" s="1" t="n"/>
      <c r="Q54" s="1" t="n"/>
      <c r="R54" s="1" t="n"/>
      <c r="S54" s="1" t="n"/>
      <c r="T54" s="1" t="n"/>
      <c r="U54" s="3" t="n">
        <v>415</v>
      </c>
      <c r="V54" s="1">
        <f>IF($K54="To be purchased",COUNTIF($K$2:$K54,"To be purchased"),"")</f>
        <v/>
      </c>
    </row>
    <row r="55">
      <c r="A55" s="1" t="inlineStr">
        <is>
          <t>Sensors</t>
        </is>
      </c>
      <c r="B55" s="2" t="inlineStr">
        <is>
          <t>Camera - Orbbec Gemini 335LE, G40055-570 - EOA sprayer vision</t>
        </is>
      </c>
      <c r="C55" s="2" t="inlineStr">
        <is>
          <t>11-C Cameras &amp; Lenses</t>
        </is>
      </c>
      <c r="D55" s="1" t="inlineStr">
        <is>
          <t>Uttez</t>
        </is>
      </c>
      <c r="E55" s="1" t="inlineStr">
        <is>
          <t>1</t>
        </is>
      </c>
      <c r="F55" s="1" t="inlineStr">
        <is>
          <t>India</t>
        </is>
      </c>
      <c r="G55" s="1" t="n"/>
      <c r="H55" s="1" t="inlineStr">
        <is>
          <t>Yes</t>
        </is>
      </c>
      <c r="I55" s="1" t="n"/>
      <c r="J55" s="6">
        <f>IFERROR(HYPERLINK("https://docs.google.com/spreadsheets/d/10M8oEMfSST-xuPwcSARfQDNcQJ0xrCp8O9iHBGPAr34/edit?gid=1956219685&amp;range=A"&amp;MATCH("PR-2026-1539",'PR Lookup'!A:A,0),"PR-2026-1539"),"PR-2026-1539")</f>
        <v/>
      </c>
      <c r="K55" s="1" t="inlineStr">
        <is>
          <t>In stock</t>
        </is>
      </c>
      <c r="L55" s="3" t="n">
        <v>11</v>
      </c>
      <c r="M55" s="4" t="b">
        <v>0</v>
      </c>
      <c r="N55" s="3" t="n">
        <v>5</v>
      </c>
      <c r="O55" s="1" t="n"/>
      <c r="P55" s="1" t="n"/>
      <c r="Q55" s="1" t="n"/>
      <c r="R55" s="1" t="n"/>
      <c r="S55" s="1" t="inlineStr">
        <is>
          <t>Mobile (travels with robot)</t>
        </is>
      </c>
      <c r="T55" s="1" t="n"/>
      <c r="U55" s="3" t="n">
        <v>444</v>
      </c>
      <c r="V55" s="1">
        <f>IF($K55="To be purchased",COUNTIF($K$2:$K55,"To be purchased"),"")</f>
        <v/>
      </c>
    </row>
    <row r="56">
      <c r="A56" s="1" t="inlineStr">
        <is>
          <t>Sensors</t>
        </is>
      </c>
      <c r="B56" s="2" t="inlineStr">
        <is>
          <t>Camera - Lucid TRI124S-MC Monochrome - EOA sander vision + lens</t>
        </is>
      </c>
      <c r="C56" s="2" t="inlineStr">
        <is>
          <t>11-C Cameras &amp; Lenses</t>
        </is>
      </c>
      <c r="D56" s="1" t="inlineStr">
        <is>
          <t>Uttez</t>
        </is>
      </c>
      <c r="E56" s="1" t="inlineStr">
        <is>
          <t>1</t>
        </is>
      </c>
      <c r="F56" s="1" t="inlineStr">
        <is>
          <t>Buy in US</t>
        </is>
      </c>
      <c r="G56" s="1" t="n"/>
      <c r="H56" s="1" t="inlineStr">
        <is>
          <t>No</t>
        </is>
      </c>
      <c r="I56" s="1" t="n"/>
      <c r="J56" s="1" t="n"/>
      <c r="K56" s="1" t="inlineStr">
        <is>
          <t>PR Raised</t>
        </is>
      </c>
      <c r="L56" s="3" t="n">
        <v>11</v>
      </c>
      <c r="M56" s="4" t="b">
        <v>0</v>
      </c>
      <c r="N56" s="3" t="n">
        <v>5</v>
      </c>
      <c r="O56" s="1" t="n"/>
      <c r="P56" s="1" t="n"/>
      <c r="Q56" s="1" t="n"/>
      <c r="R56" s="1" t="n"/>
      <c r="S56" s="1" t="inlineStr">
        <is>
          <t>Mobile (travels with robot)</t>
        </is>
      </c>
      <c r="T56" s="1" t="n"/>
      <c r="U56" s="3" t="n">
        <v>457</v>
      </c>
      <c r="V56" s="1">
        <f>IF($K56="To be purchased",COUNTIF($K$2:$K56,"To be purchased"),"")</f>
        <v/>
      </c>
    </row>
    <row r="57">
      <c r="A57" s="13" t="inlineStr">
        <is>
          <t>Sensors</t>
        </is>
      </c>
      <c r="B57" s="2" t="inlineStr">
        <is>
          <t>PCB - IMU with BNO085, V1.0</t>
        </is>
      </c>
      <c r="C57" s="2" t="inlineStr">
        <is>
          <t>11-D IMU &amp; Encoders</t>
        </is>
      </c>
      <c r="D57" s="1" t="inlineStr">
        <is>
          <t>Badri</t>
        </is>
      </c>
      <c r="E57" s="1" t="inlineStr">
        <is>
          <t>1</t>
        </is>
      </c>
      <c r="F57" s="1" t="inlineStr">
        <is>
          <t>India</t>
        </is>
      </c>
      <c r="G57" s="1" t="n"/>
      <c r="H57" s="1" t="inlineStr">
        <is>
          <t>No</t>
        </is>
      </c>
      <c r="I57" s="1" t="n"/>
      <c r="J57" s="1" t="n"/>
      <c r="K57" s="1" t="inlineStr">
        <is>
          <t>IQC Stage</t>
        </is>
      </c>
      <c r="L57" s="14" t="n">
        <v>11</v>
      </c>
      <c r="M57" s="4" t="b">
        <v>0</v>
      </c>
      <c r="N57" s="3" t="n">
        <v>5</v>
      </c>
      <c r="O57" s="1" t="n"/>
      <c r="P57" s="1" t="n"/>
      <c r="Q57" s="1" t="n"/>
      <c r="R57" s="1" t="n"/>
      <c r="S57" s="1" t="inlineStr">
        <is>
          <t>Mobile (travels with robot)</t>
        </is>
      </c>
      <c r="T57" s="2" t="inlineStr">
        <is>
          <t>[BOX NAME CORRECTED: was "Custom PCB"]</t>
        </is>
      </c>
      <c r="U57" s="3" t="n">
        <v>95</v>
      </c>
      <c r="V57" s="1">
        <f>IF($K57="To be purchased",COUNTIF($K$2:$K57,"To be purchased"),"")</f>
        <v/>
      </c>
    </row>
    <row r="58">
      <c r="A58" s="1" t="inlineStr">
        <is>
          <t>Sensors</t>
        </is>
      </c>
      <c r="B58" s="2" t="inlineStr">
        <is>
          <t>Load Cell - CZL601AC - TS sander, TS Sprayer</t>
        </is>
      </c>
      <c r="C58" s="2" t="inlineStr">
        <is>
          <t>11-E Load Cells &amp; Current Sensors</t>
        </is>
      </c>
      <c r="D58" s="1" t="inlineStr">
        <is>
          <t>Uttez</t>
        </is>
      </c>
      <c r="E58" s="1" t="n">
        <v>2</v>
      </c>
      <c r="F58" s="1" t="inlineStr">
        <is>
          <t>India</t>
        </is>
      </c>
      <c r="G58" s="1" t="n"/>
      <c r="H58" s="1" t="inlineStr">
        <is>
          <t>No</t>
        </is>
      </c>
      <c r="I58" s="1" t="n"/>
      <c r="J58" s="1" t="n"/>
      <c r="K58" s="1" t="inlineStr">
        <is>
          <t>IQC Stage</t>
        </is>
      </c>
      <c r="L58" s="3" t="n">
        <v>11</v>
      </c>
      <c r="M58" s="4" t="b">
        <v>0</v>
      </c>
      <c r="N58" s="3" t="n">
        <v>5</v>
      </c>
      <c r="O58" s="1" t="n"/>
      <c r="P58" s="1" t="n"/>
      <c r="Q58" s="1" t="n"/>
      <c r="R58" s="1" t="n"/>
      <c r="S58" s="1" t="inlineStr">
        <is>
          <t>Mobile (travels with robot)</t>
        </is>
      </c>
      <c r="T58" s="2" t="inlineStr">
        <is>
          <t>Also stocked in: Tool Spares / Sprayer EBOM. Kept separate on purpose - one per box.</t>
        </is>
      </c>
      <c r="U58" s="3" t="n">
        <v>483</v>
      </c>
      <c r="V58" s="1">
        <f>IF($K58="To be purchased",COUNTIF($K$2:$K58,"To be purchased"),"")</f>
        <v/>
      </c>
    </row>
    <row r="59">
      <c r="A59" s="1" t="inlineStr">
        <is>
          <t>Sensors</t>
        </is>
      </c>
      <c r="B59" s="2" t="inlineStr">
        <is>
          <t>Current Sensor - WCS1800 - TS sander, TS Sprayer</t>
        </is>
      </c>
      <c r="C59" s="2" t="inlineStr">
        <is>
          <t>11-E Load Cells &amp; Current Sensors</t>
        </is>
      </c>
      <c r="D59" s="1" t="inlineStr">
        <is>
          <t>Uttez</t>
        </is>
      </c>
      <c r="E59" s="1" t="inlineStr">
        <is>
          <t>2</t>
        </is>
      </c>
      <c r="F59" s="1" t="inlineStr">
        <is>
          <t>India</t>
        </is>
      </c>
      <c r="G59" s="1" t="n"/>
      <c r="H59" s="1" t="inlineStr">
        <is>
          <t>Yes</t>
        </is>
      </c>
      <c r="I59" s="1" t="n"/>
      <c r="J59" s="6">
        <f>IFERROR(HYPERLINK("https://docs.google.com/spreadsheets/d/10M8oEMfSST-xuPwcSARfQDNcQJ0xrCp8O9iHBGPAr34/edit?gid=1956219685&amp;range=A"&amp;MATCH("PR-2026-1627",'PR Lookup'!A:A,0),"PR-2026-1627"),"PR-2026-1627")</f>
        <v/>
      </c>
      <c r="K59" s="1" t="inlineStr">
        <is>
          <t>In stock</t>
        </is>
      </c>
      <c r="L59" s="3" t="n">
        <v>11</v>
      </c>
      <c r="M59" s="4" t="b">
        <v>0</v>
      </c>
      <c r="N59" s="3" t="n">
        <v>5</v>
      </c>
      <c r="O59" s="1" t="n"/>
      <c r="P59" s="1" t="n"/>
      <c r="Q59" s="1" t="n"/>
      <c r="R59" s="1" t="n"/>
      <c r="S59" s="1" t="inlineStr">
        <is>
          <t>Mobile (travels with robot)</t>
        </is>
      </c>
      <c r="T59" s="2" t="inlineStr">
        <is>
          <t>Also stocked in: Tool Spares / Sprayer EBOM. Kept separate on purpose - one per box.</t>
        </is>
      </c>
      <c r="U59" s="3" t="n">
        <v>490</v>
      </c>
      <c r="V59" s="1">
        <f>IF($K59="To be purchased",COUNTIF($K$2:$K59,"To be purchased"),"")</f>
        <v/>
      </c>
    </row>
    <row r="60">
      <c r="A60" s="1" t="inlineStr">
        <is>
          <t>Sensors</t>
        </is>
      </c>
      <c r="B60" s="2" t="inlineStr">
        <is>
          <t>Switch - Reed, SMC D-M9B</t>
        </is>
      </c>
      <c r="C60" s="2" t="inlineStr">
        <is>
          <t>11-F Limit &amp; Proximity Switches</t>
        </is>
      </c>
      <c r="D60" s="1" t="inlineStr">
        <is>
          <t>Badri</t>
        </is>
      </c>
      <c r="E60" s="1" t="inlineStr">
        <is>
          <t>2</t>
        </is>
      </c>
      <c r="F60" s="1" t="inlineStr">
        <is>
          <t>India</t>
        </is>
      </c>
      <c r="G60" s="1" t="n"/>
      <c r="H60" s="1" t="inlineStr">
        <is>
          <t>Yes</t>
        </is>
      </c>
      <c r="I60" s="5" t="n"/>
      <c r="J60" s="6">
        <f>IFERROR(HYPERLINK("https://docs.google.com/spreadsheets/d/10M8oEMfSST-xuPwcSARfQDNcQJ0xrCp8O9iHBGPAr34/edit?gid=1956219685&amp;range=A"&amp;MATCH("PR-2026-1699",'PR Lookup'!A:A,0),"PR-2026-1699"),"PR-2026-1699")</f>
        <v/>
      </c>
      <c r="K60" s="1" t="inlineStr">
        <is>
          <t>PR Raised</t>
        </is>
      </c>
      <c r="L60" s="3" t="n">
        <v>11</v>
      </c>
      <c r="M60" s="4" t="b">
        <v>0</v>
      </c>
      <c r="N60" s="3" t="n">
        <v>5</v>
      </c>
      <c r="O60" s="1" t="n"/>
      <c r="P60" s="1" t="n"/>
      <c r="Q60" s="1" t="n"/>
      <c r="R60" s="1" t="n"/>
      <c r="S60" s="1" t="inlineStr">
        <is>
          <t>Mobile (travels with robot)</t>
        </is>
      </c>
      <c r="T60" s="1" t="n"/>
      <c r="U60" s="3" t="n">
        <v>82</v>
      </c>
      <c r="V60" s="1">
        <f>IF($K60="To be purchased",COUNTIF($K$2:$K60,"To be purchased"),"")</f>
        <v/>
      </c>
    </row>
    <row r="61">
      <c r="A61" s="1" t="inlineStr">
        <is>
          <t>Sensors</t>
        </is>
      </c>
      <c r="B61" s="2" t="inlineStr">
        <is>
          <t>Limit Switch - KWI-103-7 - bucket compartment door</t>
        </is>
      </c>
      <c r="C61" s="2" t="inlineStr">
        <is>
          <t>11-F Limit &amp; Proximity Switches</t>
        </is>
      </c>
      <c r="D61" s="1" t="inlineStr">
        <is>
          <t>Uttez</t>
        </is>
      </c>
      <c r="E61" s="1" t="inlineStr">
        <is>
          <t>5</t>
        </is>
      </c>
      <c r="F61" s="1" t="inlineStr">
        <is>
          <t>India</t>
        </is>
      </c>
      <c r="G61" s="1" t="n"/>
      <c r="H61" s="1" t="inlineStr">
        <is>
          <t>No</t>
        </is>
      </c>
      <c r="I61" s="1" t="n"/>
      <c r="J61" s="6">
        <f>IFERROR(HYPERLINK("https://docs.google.com/spreadsheets/d/10M8oEMfSST-xuPwcSARfQDNcQJ0xrCp8O9iHBGPAr34/edit?gid=1956219685&amp;range=A"&amp;MATCH("PR-2026-1630",'PR Lookup'!A:A,0),"PR-2026-1630"),"PR-2026-1630")</f>
        <v/>
      </c>
      <c r="K61" s="1" t="inlineStr">
        <is>
          <t>In stock</t>
        </is>
      </c>
      <c r="L61" s="3" t="n">
        <v>11</v>
      </c>
      <c r="M61" s="4" t="b">
        <v>0</v>
      </c>
      <c r="N61" s="3" t="n">
        <v>5</v>
      </c>
      <c r="O61" s="1" t="n"/>
      <c r="P61" s="1" t="n"/>
      <c r="Q61" s="1" t="n"/>
      <c r="R61" s="1" t="n"/>
      <c r="S61" s="1" t="inlineStr">
        <is>
          <t>Mobile (travels with robot)</t>
        </is>
      </c>
      <c r="T61" s="1" t="n"/>
      <c r="U61" s="3" t="n">
        <v>516</v>
      </c>
      <c r="V61" s="1">
        <f>IF($K61="To be purchased",COUNTIF($K$2:$K61,"To be purchased"),"")</f>
        <v/>
      </c>
    </row>
    <row r="62">
      <c r="A62" s="1" t="inlineStr">
        <is>
          <t>Sensors</t>
        </is>
      </c>
      <c r="B62" s="2" t="inlineStr">
        <is>
          <t>Limit Switch - ME-8111 - bucket drop</t>
        </is>
      </c>
      <c r="C62" s="2" t="inlineStr">
        <is>
          <t>11-F Limit &amp; Proximity Switches</t>
        </is>
      </c>
      <c r="D62" s="1" t="inlineStr">
        <is>
          <t>Uttez</t>
        </is>
      </c>
      <c r="E62" s="1" t="inlineStr">
        <is>
          <t>5</t>
        </is>
      </c>
      <c r="F62" s="1" t="inlineStr">
        <is>
          <t>India</t>
        </is>
      </c>
      <c r="G62" s="1" t="n"/>
      <c r="H62" s="1" t="inlineStr">
        <is>
          <t>No</t>
        </is>
      </c>
      <c r="I62" s="1" t="n"/>
      <c r="J62" s="1" t="n"/>
      <c r="K62" s="1" t="inlineStr">
        <is>
          <t>In stock</t>
        </is>
      </c>
      <c r="L62" s="3" t="n">
        <v>11</v>
      </c>
      <c r="M62" s="4" t="b">
        <v>0</v>
      </c>
      <c r="N62" s="3" t="n">
        <v>5</v>
      </c>
      <c r="O62" s="1" t="n"/>
      <c r="P62" s="1" t="n"/>
      <c r="Q62" s="1" t="n"/>
      <c r="R62" s="1" t="n"/>
      <c r="S62" s="1" t="inlineStr">
        <is>
          <t>Mobile (travels with robot)</t>
        </is>
      </c>
      <c r="T62" s="1" t="n"/>
      <c r="U62" s="3" t="n">
        <v>517</v>
      </c>
      <c r="V62" s="1">
        <f>IF($K62="To be purchased",COUNTIF($K$2:$K62,"To be purchased"),"")</f>
        <v/>
      </c>
    </row>
    <row r="63">
      <c r="A63" s="13" t="inlineStr">
        <is>
          <t>Sensors</t>
        </is>
      </c>
      <c r="B63" s="2" t="inlineStr">
        <is>
          <t>Transducer - Pressure, Graco 243222</t>
        </is>
      </c>
      <c r="C63" s="2" t="inlineStr">
        <is>
          <t>11-H Pressure &amp; Temperature Sensors</t>
        </is>
      </c>
      <c r="D63" s="1" t="inlineStr">
        <is>
          <t>Anand</t>
        </is>
      </c>
      <c r="E63" s="1" t="inlineStr">
        <is>
          <t>1</t>
        </is>
      </c>
      <c r="F63" s="1" t="inlineStr">
        <is>
          <t>Buy in US</t>
        </is>
      </c>
      <c r="G63" s="1" t="n"/>
      <c r="H63" s="1" t="inlineStr">
        <is>
          <t>No</t>
        </is>
      </c>
      <c r="I63" s="1" t="n"/>
      <c r="J63" s="1" t="n"/>
      <c r="K63" s="1" t="inlineStr">
        <is>
          <t>To be purchased</t>
        </is>
      </c>
      <c r="L63" s="14" t="n">
        <v>11</v>
      </c>
      <c r="M63" s="4" t="b">
        <v>0</v>
      </c>
      <c r="N63" s="3" t="n">
        <v>5</v>
      </c>
      <c r="O63" s="1" t="n"/>
      <c r="P63" s="1" t="n"/>
      <c r="Q63" s="1" t="n"/>
      <c r="R63" s="1" t="n"/>
      <c r="S63" s="1" t="n"/>
      <c r="T63" s="2" t="inlineStr">
        <is>
          <t>[BOX CHANGED: 10 Power &amp; Switching -&gt; 11 Sensors]</t>
        </is>
      </c>
      <c r="U63" s="3" t="n">
        <v>398</v>
      </c>
      <c r="V63" s="3">
        <f>IF($K63="To be purchased",COUNTIF($K$2:$K63,"To be purchased"),"")</f>
        <v/>
      </c>
    </row>
    <row r="64">
      <c r="A64" s="1" t="inlineStr">
        <is>
          <t>Sensors</t>
        </is>
      </c>
      <c r="B64" s="2" t="inlineStr">
        <is>
          <t>Sensor - Temperature &amp; Humidity, AM2305B</t>
        </is>
      </c>
      <c r="C64" s="2" t="inlineStr">
        <is>
          <t>11-H Pressure &amp; Temperature Sensors</t>
        </is>
      </c>
      <c r="D64" s="1" t="inlineStr">
        <is>
          <t>Uttez</t>
        </is>
      </c>
      <c r="E64" s="1" t="n">
        <v>1</v>
      </c>
      <c r="F64" s="1" t="inlineStr">
        <is>
          <t>India</t>
        </is>
      </c>
      <c r="G64" s="1" t="n"/>
      <c r="H64" s="1" t="inlineStr">
        <is>
          <t>No</t>
        </is>
      </c>
      <c r="I64" s="1" t="n"/>
      <c r="J64" s="1" t="n"/>
      <c r="K64" s="1" t="inlineStr">
        <is>
          <t>In stock</t>
        </is>
      </c>
      <c r="L64" s="3" t="n">
        <v>11</v>
      </c>
      <c r="M64" s="4" t="b">
        <v>0</v>
      </c>
      <c r="N64" s="3" t="n">
        <v>5</v>
      </c>
      <c r="O64" s="1" t="n"/>
      <c r="P64" s="1" t="n"/>
      <c r="Q64" s="1" t="n"/>
      <c r="R64" s="1" t="n"/>
      <c r="S64" s="1" t="inlineStr">
        <is>
          <t>Mobile (travels with robot)</t>
        </is>
      </c>
      <c r="T64" s="2" t="inlineStr">
        <is>
          <t>[BOX CHANGED: 13 Wire, connector, cables &amp; crimps -&gt; 11 Sensors]</t>
        </is>
      </c>
      <c r="U64" s="3" t="n">
        <v>520</v>
      </c>
      <c r="V64" s="1">
        <f>IF($K64="To be purchased",COUNTIF($K$2:$K64,"To be purchased"),"")</f>
        <v/>
      </c>
    </row>
    <row r="65">
      <c r="A65" s="1" t="inlineStr">
        <is>
          <t>Actuators</t>
        </is>
      </c>
      <c r="B65" s="2" t="inlineStr">
        <is>
          <t>Motor Driver - Lift Kit, FD145-AB-000</t>
        </is>
      </c>
      <c r="C65" s="2" t="inlineStr">
        <is>
          <t>12-B Motor Drivers</t>
        </is>
      </c>
      <c r="D65" s="1" t="inlineStr">
        <is>
          <t>Badri</t>
        </is>
      </c>
      <c r="E65" s="1" t="inlineStr">
        <is>
          <t>1</t>
        </is>
      </c>
      <c r="F65" s="1" t="inlineStr">
        <is>
          <t>India</t>
        </is>
      </c>
      <c r="G65" s="1" t="n"/>
      <c r="H65" s="1" t="inlineStr">
        <is>
          <t>No</t>
        </is>
      </c>
      <c r="I65" s="1" t="n"/>
      <c r="J65" s="1" t="n"/>
      <c r="K65" s="1" t="inlineStr">
        <is>
          <t>PR Raised</t>
        </is>
      </c>
      <c r="L65" s="3" t="n">
        <v>12</v>
      </c>
      <c r="M65" s="4" t="b">
        <v>0</v>
      </c>
      <c r="N65" s="3" t="n">
        <v>5</v>
      </c>
      <c r="O65" s="1" t="n"/>
      <c r="P65" s="1" t="n"/>
      <c r="Q65" s="1" t="n"/>
      <c r="R65" s="1" t="n"/>
      <c r="S65" s="1" t="inlineStr">
        <is>
          <t>Mobile (travels with robot)</t>
        </is>
      </c>
      <c r="T65" s="1" t="n"/>
      <c r="U65" s="3" t="n">
        <v>63</v>
      </c>
      <c r="V65" s="1">
        <f>IF($K65="To be purchased",COUNTIF($K$2:$K65,"To be purchased"),"")</f>
        <v/>
      </c>
    </row>
    <row r="66">
      <c r="A66" s="13" t="inlineStr">
        <is>
          <t>Actuators</t>
        </is>
      </c>
      <c r="B66" s="2" t="inlineStr">
        <is>
          <t>Repair Kit - Graco Pump, 17H844</t>
        </is>
      </c>
      <c r="C66" s="2" t="inlineStr">
        <is>
          <t>12-C Pumps &amp; Pump Repair Kits</t>
        </is>
      </c>
      <c r="D66" s="1" t="inlineStr">
        <is>
          <t>Anand</t>
        </is>
      </c>
      <c r="E66" s="1" t="inlineStr">
        <is>
          <t>1</t>
        </is>
      </c>
      <c r="F66" s="1" t="inlineStr">
        <is>
          <t>Buy in US</t>
        </is>
      </c>
      <c r="G66" s="1" t="n"/>
      <c r="H66" s="1" t="inlineStr">
        <is>
          <t>No</t>
        </is>
      </c>
      <c r="I66" s="1" t="n"/>
      <c r="J66" s="1" t="n"/>
      <c r="K66" s="1" t="inlineStr">
        <is>
          <t>To be purchased</t>
        </is>
      </c>
      <c r="L66" s="14" t="n">
        <v>12</v>
      </c>
      <c r="M66" s="4" t="b">
        <v>0</v>
      </c>
      <c r="N66" s="3" t="n">
        <v>5</v>
      </c>
      <c r="O66" s="1" t="n"/>
      <c r="P66" s="1" t="n"/>
      <c r="Q66" s="1" t="n"/>
      <c r="R66" s="1" t="n"/>
      <c r="S66" s="1" t="n"/>
      <c r="T66" s="2" t="inlineStr">
        <is>
          <t>[BOX CHANGED: 16 Mechanical parts -&gt; 12 Actuators]</t>
        </is>
      </c>
      <c r="U66" s="3" t="n">
        <v>381</v>
      </c>
      <c r="V66" s="3">
        <f>IF($K66="To be purchased",COUNTIF($K$2:$K66,"To be purchased"),"")</f>
        <v/>
      </c>
    </row>
    <row r="67">
      <c r="A67" s="13" t="inlineStr">
        <is>
          <t>Actuators</t>
        </is>
      </c>
      <c r="B67" s="2" t="inlineStr">
        <is>
          <t>Repair Kit - Graco Foot Valve, 24N013</t>
        </is>
      </c>
      <c r="C67" s="2" t="inlineStr">
        <is>
          <t>12-C Pumps &amp; Pump Repair Kits</t>
        </is>
      </c>
      <c r="D67" s="1" t="inlineStr">
        <is>
          <t>Anand</t>
        </is>
      </c>
      <c r="E67" s="1" t="inlineStr">
        <is>
          <t>1</t>
        </is>
      </c>
      <c r="F67" s="1" t="inlineStr">
        <is>
          <t>Buy in US</t>
        </is>
      </c>
      <c r="G67" s="1" t="n"/>
      <c r="H67" s="1" t="inlineStr">
        <is>
          <t>No</t>
        </is>
      </c>
      <c r="I67" s="1" t="n"/>
      <c r="J67" s="1" t="n"/>
      <c r="K67" s="1" t="inlineStr">
        <is>
          <t>To be purchased</t>
        </is>
      </c>
      <c r="L67" s="14" t="n">
        <v>12</v>
      </c>
      <c r="M67" s="4" t="b">
        <v>0</v>
      </c>
      <c r="N67" s="3" t="n">
        <v>5</v>
      </c>
      <c r="O67" s="1" t="n"/>
      <c r="P67" s="1" t="n"/>
      <c r="Q67" s="1" t="n"/>
      <c r="R67" s="1" t="n"/>
      <c r="S67" s="1" t="n"/>
      <c r="T67" s="2" t="inlineStr">
        <is>
          <t>[BOX CHANGED: 16 Mechanical parts -&gt; 12 Actuators]</t>
        </is>
      </c>
      <c r="U67" s="3" t="n">
        <v>382</v>
      </c>
      <c r="V67" s="3">
        <f>IF($K67="To be purchased",COUNTIF($K$2:$K67,"To be purchased"),"")</f>
        <v/>
      </c>
    </row>
    <row r="68">
      <c r="A68" s="1" t="inlineStr">
        <is>
          <t>Actuators</t>
        </is>
      </c>
      <c r="B68" s="2" t="inlineStr">
        <is>
          <t>Repair Kit - Graco Mark X Drain Valve, 245103</t>
        </is>
      </c>
      <c r="C68" s="2" t="inlineStr">
        <is>
          <t>12-C Pumps &amp; Pump Repair Kits</t>
        </is>
      </c>
      <c r="D68" s="1" t="inlineStr">
        <is>
          <t>Anand</t>
        </is>
      </c>
      <c r="E68" s="1" t="inlineStr">
        <is>
          <t>1</t>
        </is>
      </c>
      <c r="F68" s="1" t="inlineStr">
        <is>
          <t>Buy in US</t>
        </is>
      </c>
      <c r="G68" s="1" t="n"/>
      <c r="H68" s="1" t="inlineStr">
        <is>
          <t>No</t>
        </is>
      </c>
      <c r="I68" s="1" t="n"/>
      <c r="J68" s="1" t="n"/>
      <c r="K68" s="1" t="inlineStr">
        <is>
          <t>To be purchased</t>
        </is>
      </c>
      <c r="L68" s="3" t="n">
        <v>12</v>
      </c>
      <c r="M68" s="4" t="b">
        <v>0</v>
      </c>
      <c r="N68" s="3" t="n">
        <v>5</v>
      </c>
      <c r="O68" s="1" t="n"/>
      <c r="P68" s="1" t="n"/>
      <c r="Q68" s="1" t="n"/>
      <c r="R68" s="1" t="n"/>
      <c r="S68" s="1" t="n"/>
      <c r="T68" s="1" t="n"/>
      <c r="U68" s="3" t="n">
        <v>383</v>
      </c>
      <c r="V68" s="3">
        <f>IF($K68="To be purchased",COUNTIF($K$2:$K68,"To be purchased"),"")</f>
        <v/>
      </c>
    </row>
    <row r="69">
      <c r="A69" s="1" t="inlineStr">
        <is>
          <t>Actuators</t>
        </is>
      </c>
      <c r="B69" s="2" t="inlineStr">
        <is>
          <t>Strainer - Pump Inlet, Graco 189920</t>
        </is>
      </c>
      <c r="C69" s="2" t="inlineStr">
        <is>
          <t>12-C Pumps &amp; Pump Repair Kits</t>
        </is>
      </c>
      <c r="D69" s="1" t="inlineStr">
        <is>
          <t>Anand</t>
        </is>
      </c>
      <c r="E69" s="1" t="inlineStr">
        <is>
          <t>1</t>
        </is>
      </c>
      <c r="F69" s="1" t="inlineStr">
        <is>
          <t>Buy in US</t>
        </is>
      </c>
      <c r="G69" s="1" t="n"/>
      <c r="H69" s="1" t="inlineStr">
        <is>
          <t>No</t>
        </is>
      </c>
      <c r="I69" s="1" t="n"/>
      <c r="J69" s="1" t="n"/>
      <c r="K69" s="1" t="inlineStr">
        <is>
          <t>To be purchased</t>
        </is>
      </c>
      <c r="L69" s="3" t="n">
        <v>12</v>
      </c>
      <c r="M69" s="4" t="b">
        <v>0</v>
      </c>
      <c r="N69" s="3" t="n">
        <v>5</v>
      </c>
      <c r="O69" s="1" t="n"/>
      <c r="P69" s="1" t="n"/>
      <c r="Q69" s="1" t="n"/>
      <c r="R69" s="1" t="n"/>
      <c r="S69" s="1" t="n"/>
      <c r="T69" s="1" t="n"/>
      <c r="U69" s="3" t="n">
        <v>384</v>
      </c>
      <c r="V69" s="3">
        <f>IF($K69="To be purchased",COUNTIF($K$2:$K69,"To be purchased"),"")</f>
        <v/>
      </c>
    </row>
    <row r="70">
      <c r="A70" s="1" t="inlineStr">
        <is>
          <t>Actuators</t>
        </is>
      </c>
      <c r="B70" s="2" t="inlineStr">
        <is>
          <t>Valve - Foot, Graco 15A303</t>
        </is>
      </c>
      <c r="C70" s="2" t="inlineStr">
        <is>
          <t>12-C Pumps &amp; Pump Repair Kits</t>
        </is>
      </c>
      <c r="D70" s="1" t="inlineStr">
        <is>
          <t>Anand</t>
        </is>
      </c>
      <c r="E70" s="1" t="inlineStr">
        <is>
          <t>1</t>
        </is>
      </c>
      <c r="F70" s="1" t="inlineStr">
        <is>
          <t>Buy in US</t>
        </is>
      </c>
      <c r="G70" s="1" t="n"/>
      <c r="H70" s="1" t="inlineStr">
        <is>
          <t>No</t>
        </is>
      </c>
      <c r="I70" s="1" t="n"/>
      <c r="J70" s="1" t="n"/>
      <c r="K70" s="1" t="inlineStr">
        <is>
          <t>To be purchased</t>
        </is>
      </c>
      <c r="L70" s="3" t="n">
        <v>12</v>
      </c>
      <c r="M70" s="4" t="b">
        <v>0</v>
      </c>
      <c r="N70" s="3" t="n">
        <v>5</v>
      </c>
      <c r="O70" s="1" t="n"/>
      <c r="P70" s="1" t="n"/>
      <c r="Q70" s="1" t="n"/>
      <c r="R70" s="1" t="n"/>
      <c r="S70" s="1" t="n"/>
      <c r="T70" s="1" t="n"/>
      <c r="U70" s="3" t="n">
        <v>385</v>
      </c>
      <c r="V70" s="3">
        <f>IF($K70="To be purchased",COUNTIF($K$2:$K70,"To be purchased"),"")</f>
        <v/>
      </c>
    </row>
    <row r="71">
      <c r="A71" s="13" t="inlineStr">
        <is>
          <t>Actuators</t>
        </is>
      </c>
      <c r="B71" s="2" t="inlineStr">
        <is>
          <t>O-Ring - Foot Valve to Ball Seat, Graco 17E793</t>
        </is>
      </c>
      <c r="C71" s="2" t="inlineStr">
        <is>
          <t>12-C Pumps &amp; Pump Repair Kits</t>
        </is>
      </c>
      <c r="D71" s="1" t="inlineStr">
        <is>
          <t>Anand</t>
        </is>
      </c>
      <c r="E71" s="1" t="inlineStr">
        <is>
          <t>1</t>
        </is>
      </c>
      <c r="F71" s="1" t="inlineStr">
        <is>
          <t>Buy in US</t>
        </is>
      </c>
      <c r="G71" s="1" t="n"/>
      <c r="H71" s="1" t="inlineStr">
        <is>
          <t>No</t>
        </is>
      </c>
      <c r="I71" s="1" t="n"/>
      <c r="J71" s="1" t="n"/>
      <c r="K71" s="1" t="inlineStr">
        <is>
          <t>To be purchased</t>
        </is>
      </c>
      <c r="L71" s="14" t="n">
        <v>12</v>
      </c>
      <c r="M71" s="4" t="b">
        <v>0</v>
      </c>
      <c r="N71" s="3" t="n">
        <v>5</v>
      </c>
      <c r="O71" s="1" t="n"/>
      <c r="P71" s="1" t="n"/>
      <c r="Q71" s="1" t="n"/>
      <c r="R71" s="1" t="n"/>
      <c r="S71" s="1" t="n"/>
      <c r="T71" s="2" t="inlineStr">
        <is>
          <t>[BOX CHANGED: 16 Mechanical parts -&gt; 12 Actuators]</t>
        </is>
      </c>
      <c r="U71" s="3" t="n">
        <v>386</v>
      </c>
      <c r="V71" s="3">
        <f>IF($K71="To be purchased",COUNTIF($K$2:$K71,"To be purchased"),"")</f>
        <v/>
      </c>
    </row>
    <row r="72">
      <c r="A72" s="1" t="inlineStr">
        <is>
          <t>Actuators</t>
        </is>
      </c>
      <c r="B72" s="2" t="inlineStr">
        <is>
          <t>Ball Seat - Pump Inlet</t>
        </is>
      </c>
      <c r="C72" s="2" t="inlineStr">
        <is>
          <t>12-C Pumps &amp; Pump Repair Kits</t>
        </is>
      </c>
      <c r="D72" s="1" t="inlineStr">
        <is>
          <t>Anand</t>
        </is>
      </c>
      <c r="E72" s="1" t="inlineStr">
        <is>
          <t>1</t>
        </is>
      </c>
      <c r="F72" s="1" t="inlineStr">
        <is>
          <t>Buy in US</t>
        </is>
      </c>
      <c r="G72" s="1" t="n"/>
      <c r="H72" s="1" t="inlineStr">
        <is>
          <t>No</t>
        </is>
      </c>
      <c r="I72" s="1" t="n"/>
      <c r="J72" s="1" t="n"/>
      <c r="K72" s="1" t="inlineStr">
        <is>
          <t>To be purchased</t>
        </is>
      </c>
      <c r="L72" s="3" t="n">
        <v>12</v>
      </c>
      <c r="M72" s="4" t="b">
        <v>0</v>
      </c>
      <c r="N72" s="3" t="n">
        <v>5</v>
      </c>
      <c r="O72" s="1" t="n"/>
      <c r="P72" s="1" t="n"/>
      <c r="Q72" s="1" t="n"/>
      <c r="R72" s="1" t="n"/>
      <c r="S72" s="1" t="n"/>
      <c r="T72" s="1" t="n"/>
      <c r="U72" s="3" t="n">
        <v>387</v>
      </c>
      <c r="V72" s="3">
        <f>IF($K72="To be purchased",COUNTIF($K$2:$K72,"To be purchased"),"")</f>
        <v/>
      </c>
    </row>
    <row r="73">
      <c r="A73" s="1" t="inlineStr">
        <is>
          <t>Actuators</t>
        </is>
      </c>
      <c r="B73" s="2" t="inlineStr">
        <is>
          <t>Check Ball - Pump Inlet, Ceramic, Graco 17R046</t>
        </is>
      </c>
      <c r="C73" s="2" t="inlineStr">
        <is>
          <t>12-C Pumps &amp; Pump Repair Kits</t>
        </is>
      </c>
      <c r="D73" s="1" t="inlineStr">
        <is>
          <t>Anand</t>
        </is>
      </c>
      <c r="E73" s="1" t="inlineStr">
        <is>
          <t>1</t>
        </is>
      </c>
      <c r="F73" s="1" t="inlineStr">
        <is>
          <t>Buy in US</t>
        </is>
      </c>
      <c r="G73" s="1" t="n"/>
      <c r="H73" s="1" t="inlineStr">
        <is>
          <t>No</t>
        </is>
      </c>
      <c r="I73" s="1" t="n"/>
      <c r="J73" s="1" t="n"/>
      <c r="K73" s="1" t="inlineStr">
        <is>
          <t>To be purchased</t>
        </is>
      </c>
      <c r="L73" s="3" t="n">
        <v>12</v>
      </c>
      <c r="M73" s="4" t="b">
        <v>0</v>
      </c>
      <c r="N73" s="3" t="n">
        <v>5</v>
      </c>
      <c r="O73" s="1" t="n"/>
      <c r="P73" s="1" t="n"/>
      <c r="Q73" s="1" t="n"/>
      <c r="R73" s="1" t="n"/>
      <c r="S73" s="1" t="n"/>
      <c r="T73" s="1" t="n"/>
      <c r="U73" s="3" t="n">
        <v>388</v>
      </c>
      <c r="V73" s="3">
        <f>IF($K73="To be purchased",COUNTIF($K$2:$K73,"To be purchased"),"")</f>
        <v/>
      </c>
    </row>
    <row r="74">
      <c r="A74" s="13" t="inlineStr">
        <is>
          <t>Actuators</t>
        </is>
      </c>
      <c r="B74" s="2" t="inlineStr">
        <is>
          <t>Ball Guide - Graco 193391</t>
        </is>
      </c>
      <c r="C74" s="2" t="inlineStr">
        <is>
          <t>12-C Pumps &amp; Pump Repair Kits</t>
        </is>
      </c>
      <c r="D74" s="1" t="inlineStr">
        <is>
          <t>Anand</t>
        </is>
      </c>
      <c r="E74" s="1" t="inlineStr">
        <is>
          <t>1</t>
        </is>
      </c>
      <c r="F74" s="1" t="inlineStr">
        <is>
          <t>Buy in US</t>
        </is>
      </c>
      <c r="G74" s="1" t="n"/>
      <c r="H74" s="1" t="inlineStr">
        <is>
          <t>No</t>
        </is>
      </c>
      <c r="I74" s="1" t="n"/>
      <c r="J74" s="1" t="n"/>
      <c r="K74" s="1" t="inlineStr">
        <is>
          <t>To be purchased</t>
        </is>
      </c>
      <c r="L74" s="14" t="n">
        <v>12</v>
      </c>
      <c r="M74" s="4" t="b">
        <v>0</v>
      </c>
      <c r="N74" s="3" t="n">
        <v>5</v>
      </c>
      <c r="O74" s="1" t="n"/>
      <c r="P74" s="1" t="n"/>
      <c r="Q74" s="1" t="n"/>
      <c r="R74" s="1" t="n"/>
      <c r="S74" s="1" t="n"/>
      <c r="T74" s="2" t="inlineStr">
        <is>
          <t>[BOX CHANGED: 16 Mechanical parts -&gt; 12 Actuators]</t>
        </is>
      </c>
      <c r="U74" s="3" t="n">
        <v>389</v>
      </c>
      <c r="V74" s="3">
        <f>IF($K74="To be purchased",COUNTIF($K$2:$K74,"To be purchased"),"")</f>
        <v/>
      </c>
    </row>
    <row r="75">
      <c r="A75" s="13" t="inlineStr">
        <is>
          <t>Actuators</t>
        </is>
      </c>
      <c r="B75" s="2" t="inlineStr">
        <is>
          <t>Spring - Inlet Ball, Graco 24E027</t>
        </is>
      </c>
      <c r="C75" s="2" t="inlineStr">
        <is>
          <t>12-C Pumps &amp; Pump Repair Kits</t>
        </is>
      </c>
      <c r="D75" s="1" t="inlineStr">
        <is>
          <t>Anand</t>
        </is>
      </c>
      <c r="E75" s="1" t="inlineStr">
        <is>
          <t>1</t>
        </is>
      </c>
      <c r="F75" s="1" t="inlineStr">
        <is>
          <t>Buy in US</t>
        </is>
      </c>
      <c r="G75" s="1" t="n"/>
      <c r="H75" s="1" t="inlineStr">
        <is>
          <t>No</t>
        </is>
      </c>
      <c r="I75" s="1" t="n"/>
      <c r="J75" s="1" t="n"/>
      <c r="K75" s="1" t="inlineStr">
        <is>
          <t>To be purchased</t>
        </is>
      </c>
      <c r="L75" s="14" t="n">
        <v>12</v>
      </c>
      <c r="M75" s="4" t="b">
        <v>0</v>
      </c>
      <c r="N75" s="3" t="n">
        <v>5</v>
      </c>
      <c r="O75" s="1" t="n"/>
      <c r="P75" s="1" t="n"/>
      <c r="Q75" s="1" t="n"/>
      <c r="R75" s="1" t="n"/>
      <c r="S75" s="1" t="n"/>
      <c r="T75" s="2" t="inlineStr">
        <is>
          <t>[BOX CHANGED: 16 Mechanical parts -&gt; 12 Actuators]</t>
        </is>
      </c>
      <c r="U75" s="3" t="n">
        <v>390</v>
      </c>
      <c r="V75" s="3">
        <f>IF($K75="To be purchased",COUNTIF($K$2:$K75,"To be purchased"),"")</f>
        <v/>
      </c>
    </row>
    <row r="76">
      <c r="A76" s="13" t="inlineStr">
        <is>
          <t>Actuators</t>
        </is>
      </c>
      <c r="B76" s="2" t="inlineStr">
        <is>
          <t>O-Ring - Pump Stem to Foot Valve, Graco 160325</t>
        </is>
      </c>
      <c r="C76" s="2" t="inlineStr">
        <is>
          <t>12-C Pumps &amp; Pump Repair Kits</t>
        </is>
      </c>
      <c r="D76" s="1" t="inlineStr">
        <is>
          <t>Anand</t>
        </is>
      </c>
      <c r="E76" s="1" t="inlineStr">
        <is>
          <t>1</t>
        </is>
      </c>
      <c r="F76" s="1" t="inlineStr">
        <is>
          <t>Buy in US</t>
        </is>
      </c>
      <c r="G76" s="1" t="n"/>
      <c r="H76" s="1" t="inlineStr">
        <is>
          <t>No</t>
        </is>
      </c>
      <c r="I76" s="1" t="n"/>
      <c r="J76" s="1" t="n"/>
      <c r="K76" s="1" t="inlineStr">
        <is>
          <t>To be purchased</t>
        </is>
      </c>
      <c r="L76" s="14" t="n">
        <v>12</v>
      </c>
      <c r="M76" s="4" t="b">
        <v>0</v>
      </c>
      <c r="N76" s="3" t="n">
        <v>5</v>
      </c>
      <c r="O76" s="1" t="n"/>
      <c r="P76" s="1" t="n"/>
      <c r="Q76" s="1" t="n"/>
      <c r="R76" s="1" t="n"/>
      <c r="S76" s="1" t="n"/>
      <c r="T76" s="2" t="inlineStr">
        <is>
          <t>[BOX CHANGED: 16 Mechanical parts -&gt; 12 Actuators]</t>
        </is>
      </c>
      <c r="U76" s="3" t="n">
        <v>391</v>
      </c>
      <c r="V76" s="3">
        <f>IF($K76="To be purchased",COUNTIF($K$2:$K76,"To be purchased"),"")</f>
        <v/>
      </c>
    </row>
    <row r="77">
      <c r="A77" s="13" t="inlineStr">
        <is>
          <t>Actuators</t>
        </is>
      </c>
      <c r="B77" s="2" t="inlineStr">
        <is>
          <t>Hose - Pump Drain, Graco 244240</t>
        </is>
      </c>
      <c r="C77" s="2" t="inlineStr">
        <is>
          <t>12-C Pumps &amp; Pump Repair Kits</t>
        </is>
      </c>
      <c r="D77" s="1" t="inlineStr">
        <is>
          <t>Anand</t>
        </is>
      </c>
      <c r="E77" s="1" t="inlineStr">
        <is>
          <t>1</t>
        </is>
      </c>
      <c r="F77" s="1" t="inlineStr">
        <is>
          <t>India</t>
        </is>
      </c>
      <c r="G77" s="1" t="n"/>
      <c r="H77" s="1" t="inlineStr">
        <is>
          <t>No</t>
        </is>
      </c>
      <c r="I77" s="1" t="n"/>
      <c r="J77" s="1" t="n"/>
      <c r="K77" s="1" t="inlineStr">
        <is>
          <t>In stock</t>
        </is>
      </c>
      <c r="L77" s="14" t="n">
        <v>12</v>
      </c>
      <c r="M77" s="4" t="b">
        <v>0</v>
      </c>
      <c r="N77" s="3" t="n">
        <v>5</v>
      </c>
      <c r="O77" s="1" t="n"/>
      <c r="P77" s="1" t="n"/>
      <c r="Q77" s="1" t="n"/>
      <c r="R77" s="1" t="n"/>
      <c r="S77" s="1" t="n"/>
      <c r="T77" s="2" t="inlineStr">
        <is>
          <t>[BOX CHANGED: 16 Mechanical parts -&gt; 12 Actuators]</t>
        </is>
      </c>
      <c r="U77" s="3" t="n">
        <v>392</v>
      </c>
      <c r="V77" s="1">
        <f>IF($K77="To be purchased",COUNTIF($K$2:$K77,"To be purchased"),"")</f>
        <v/>
      </c>
    </row>
    <row r="78">
      <c r="A78" s="1" t="inlineStr">
        <is>
          <t>Actuators</t>
        </is>
      </c>
      <c r="B78" s="2" t="inlineStr">
        <is>
          <t>Swivel - Tee, Graco 127518</t>
        </is>
      </c>
      <c r="C78" s="2" t="inlineStr">
        <is>
          <t>12-C Pumps &amp; Pump Repair Kits</t>
        </is>
      </c>
      <c r="D78" s="1" t="inlineStr">
        <is>
          <t>Anand</t>
        </is>
      </c>
      <c r="E78" s="1" t="inlineStr">
        <is>
          <t>1</t>
        </is>
      </c>
      <c r="F78" s="1" t="inlineStr">
        <is>
          <t>Buy in US</t>
        </is>
      </c>
      <c r="G78" s="1" t="n"/>
      <c r="H78" s="1" t="inlineStr">
        <is>
          <t>No</t>
        </is>
      </c>
      <c r="I78" s="1" t="n"/>
      <c r="J78" s="1" t="n"/>
      <c r="K78" s="1" t="inlineStr">
        <is>
          <t>To be purchased</t>
        </is>
      </c>
      <c r="L78" s="3" t="n">
        <v>12</v>
      </c>
      <c r="M78" s="4" t="b">
        <v>0</v>
      </c>
      <c r="N78" s="3" t="n">
        <v>5</v>
      </c>
      <c r="O78" s="1" t="n"/>
      <c r="P78" s="1" t="n"/>
      <c r="Q78" s="1" t="n"/>
      <c r="R78" s="1" t="n"/>
      <c r="S78" s="1" t="n"/>
      <c r="T78" s="1" t="n"/>
      <c r="U78" s="3" t="n">
        <v>393</v>
      </c>
      <c r="V78" s="3">
        <f>IF($K78="To be purchased",COUNTIF($K$2:$K78,"To be purchased"),"")</f>
        <v/>
      </c>
    </row>
    <row r="79">
      <c r="A79" s="13" t="inlineStr">
        <is>
          <t>Actuators</t>
        </is>
      </c>
      <c r="B79" s="2" t="inlineStr">
        <is>
          <t>Fitting - NPT Male to NPT Male Elbow, 3/8 in, Graco 121019</t>
        </is>
      </c>
      <c r="C79" s="2" t="inlineStr">
        <is>
          <t>12-C Pumps &amp; Pump Repair Kits</t>
        </is>
      </c>
      <c r="D79" s="1" t="inlineStr">
        <is>
          <t>Anand</t>
        </is>
      </c>
      <c r="E79" s="1" t="inlineStr">
        <is>
          <t>1</t>
        </is>
      </c>
      <c r="F79" s="1" t="inlineStr">
        <is>
          <t>India</t>
        </is>
      </c>
      <c r="G79" s="1" t="n"/>
      <c r="H79" s="1" t="inlineStr">
        <is>
          <t>No</t>
        </is>
      </c>
      <c r="I79" s="1" t="n"/>
      <c r="J79" s="1" t="n"/>
      <c r="K79" s="1" t="inlineStr">
        <is>
          <t>In stock</t>
        </is>
      </c>
      <c r="L79" s="14" t="n">
        <v>12</v>
      </c>
      <c r="M79" s="4" t="b">
        <v>0</v>
      </c>
      <c r="N79" s="3" t="n">
        <v>5</v>
      </c>
      <c r="O79" s="1" t="n"/>
      <c r="P79" s="1" t="n"/>
      <c r="Q79" s="1" t="n"/>
      <c r="R79" s="1" t="n"/>
      <c r="S79" s="1" t="n"/>
      <c r="T79" s="2" t="inlineStr">
        <is>
          <t>[BOX CHANGED: 16 Mechanical parts -&gt; 12 Actuators]</t>
        </is>
      </c>
      <c r="U79" s="3" t="n">
        <v>394</v>
      </c>
      <c r="V79" s="1">
        <f>IF($K79="To be purchased",COUNTIF($K$2:$K79,"To be purchased"),"")</f>
        <v/>
      </c>
    </row>
    <row r="80">
      <c r="A80" s="13" t="inlineStr">
        <is>
          <t>Actuators</t>
        </is>
      </c>
      <c r="B80" s="2" t="inlineStr">
        <is>
          <t>Gauge - Pressure, Graco 115523</t>
        </is>
      </c>
      <c r="C80" s="2" t="inlineStr">
        <is>
          <t>12-C Pumps &amp; Pump Repair Kits</t>
        </is>
      </c>
      <c r="D80" s="1" t="inlineStr">
        <is>
          <t>Anand</t>
        </is>
      </c>
      <c r="E80" s="1" t="inlineStr">
        <is>
          <t>1</t>
        </is>
      </c>
      <c r="F80" s="1" t="inlineStr">
        <is>
          <t>Buy in US</t>
        </is>
      </c>
      <c r="G80" s="1" t="n"/>
      <c r="H80" s="1" t="inlineStr">
        <is>
          <t>No</t>
        </is>
      </c>
      <c r="I80" s="1" t="n"/>
      <c r="J80" s="1" t="n"/>
      <c r="K80" s="1" t="inlineStr">
        <is>
          <t>To be purchased</t>
        </is>
      </c>
      <c r="L80" s="14" t="n">
        <v>12</v>
      </c>
      <c r="M80" s="4" t="b">
        <v>0</v>
      </c>
      <c r="N80" s="3" t="n">
        <v>5</v>
      </c>
      <c r="O80" s="1" t="n"/>
      <c r="P80" s="1" t="n"/>
      <c r="Q80" s="1" t="n"/>
      <c r="R80" s="1" t="n"/>
      <c r="S80" s="1" t="n"/>
      <c r="T80" s="2" t="inlineStr">
        <is>
          <t>[BOX CHANGED: 16 Mechanical parts -&gt; 12 Actuators]</t>
        </is>
      </c>
      <c r="U80" s="3" t="n">
        <v>395</v>
      </c>
      <c r="V80" s="3">
        <f>IF($K80="To be purchased",COUNTIF($K$2:$K80,"To be purchased"),"")</f>
        <v/>
      </c>
    </row>
    <row r="81">
      <c r="A81" s="13" t="inlineStr">
        <is>
          <t>Actuators</t>
        </is>
      </c>
      <c r="B81" s="2" t="inlineStr">
        <is>
          <t>Fan - Pump Motor, Graco 15V577</t>
        </is>
      </c>
      <c r="C81" s="2" t="inlineStr">
        <is>
          <t>12-C Pumps &amp; Pump Repair Kits</t>
        </is>
      </c>
      <c r="D81" s="1" t="inlineStr">
        <is>
          <t>Anand</t>
        </is>
      </c>
      <c r="E81" s="1" t="inlineStr">
        <is>
          <t>1</t>
        </is>
      </c>
      <c r="F81" s="1" t="inlineStr">
        <is>
          <t>Buy in US</t>
        </is>
      </c>
      <c r="G81" s="1" t="n"/>
      <c r="H81" s="1" t="inlineStr">
        <is>
          <t>No</t>
        </is>
      </c>
      <c r="I81" s="1" t="n"/>
      <c r="J81" s="1" t="n"/>
      <c r="K81" s="1" t="inlineStr">
        <is>
          <t>To be purchased</t>
        </is>
      </c>
      <c r="L81" s="14" t="n">
        <v>12</v>
      </c>
      <c r="M81" s="4" t="b">
        <v>0</v>
      </c>
      <c r="N81" s="3" t="n">
        <v>5</v>
      </c>
      <c r="O81" s="1" t="n"/>
      <c r="P81" s="1" t="n"/>
      <c r="Q81" s="1" t="n"/>
      <c r="R81" s="1" t="n"/>
      <c r="S81" s="1" t="n"/>
      <c r="T81" s="2" t="inlineStr">
        <is>
          <t>[BOX CHANGED: 13 Wire, connector, cables &amp; crimps -&gt; 12 Actuators]</t>
        </is>
      </c>
      <c r="U81" s="3" t="n">
        <v>396</v>
      </c>
      <c r="V81" s="3">
        <f>IF($K81="To be purchased",COUNTIF($K$2:$K81,"To be purchased"),"")</f>
        <v/>
      </c>
    </row>
    <row r="82">
      <c r="A82" s="13" t="inlineStr">
        <is>
          <t>Actuators</t>
        </is>
      </c>
      <c r="B82" s="2" t="inlineStr">
        <is>
          <t>Clip - Pump Motor Fan Retainer, Graco 122347</t>
        </is>
      </c>
      <c r="C82" s="2" t="inlineStr">
        <is>
          <t>12-C Pumps &amp; Pump Repair Kits</t>
        </is>
      </c>
      <c r="D82" s="1" t="inlineStr">
        <is>
          <t>Anand</t>
        </is>
      </c>
      <c r="E82" s="1" t="inlineStr">
        <is>
          <t>1</t>
        </is>
      </c>
      <c r="F82" s="1" t="inlineStr">
        <is>
          <t>Buy in US</t>
        </is>
      </c>
      <c r="G82" s="1" t="n"/>
      <c r="H82" s="1" t="inlineStr">
        <is>
          <t>No</t>
        </is>
      </c>
      <c r="I82" s="1" t="n"/>
      <c r="J82" s="1" t="n"/>
      <c r="K82" s="1" t="inlineStr">
        <is>
          <t>To be purchased</t>
        </is>
      </c>
      <c r="L82" s="14" t="n">
        <v>12</v>
      </c>
      <c r="M82" s="4" t="b">
        <v>0</v>
      </c>
      <c r="N82" s="3" t="n">
        <v>5</v>
      </c>
      <c r="O82" s="1" t="n"/>
      <c r="P82" s="1" t="n"/>
      <c r="Q82" s="1" t="n"/>
      <c r="R82" s="1" t="n"/>
      <c r="S82" s="1" t="n"/>
      <c r="T82" s="2" t="inlineStr">
        <is>
          <t>[BOX CHANGED: 11 Sensors -&gt; 12 Actuators]</t>
        </is>
      </c>
      <c r="U82" s="3" t="n">
        <v>397</v>
      </c>
      <c r="V82" s="3">
        <f>IF($K82="To be purchased",COUNTIF($K$2:$K82,"To be purchased"),"")</f>
        <v/>
      </c>
    </row>
    <row r="83">
      <c r="A83" s="13" t="inlineStr">
        <is>
          <t>Actuators</t>
        </is>
      </c>
      <c r="B83" s="2" t="inlineStr">
        <is>
          <t>Gasket - Pump Bottom, Polyethylene, Graco 114134</t>
        </is>
      </c>
      <c r="C83" s="2" t="inlineStr">
        <is>
          <t>12-C Pumps &amp; Pump Repair Kits</t>
        </is>
      </c>
      <c r="D83" s="1" t="inlineStr">
        <is>
          <t>Anand</t>
        </is>
      </c>
      <c r="E83" s="1" t="inlineStr">
        <is>
          <t>1</t>
        </is>
      </c>
      <c r="F83" s="1" t="inlineStr">
        <is>
          <t>India</t>
        </is>
      </c>
      <c r="G83" s="1" t="n"/>
      <c r="H83" s="1" t="inlineStr">
        <is>
          <t>No</t>
        </is>
      </c>
      <c r="I83" s="1" t="n"/>
      <c r="J83" s="1" t="n"/>
      <c r="K83" s="1" t="inlineStr">
        <is>
          <t>In stock</t>
        </is>
      </c>
      <c r="L83" s="14" t="n">
        <v>12</v>
      </c>
      <c r="M83" s="4" t="b">
        <v>0</v>
      </c>
      <c r="N83" s="3" t="n">
        <v>5</v>
      </c>
      <c r="O83" s="1" t="n"/>
      <c r="P83" s="1" t="n"/>
      <c r="Q83" s="1" t="n"/>
      <c r="R83" s="1" t="n"/>
      <c r="S83" s="1" t="n"/>
      <c r="T83" s="2" t="inlineStr">
        <is>
          <t>[BOX CHANGED: 16 Mechanical parts -&gt; 12 Actuators]</t>
        </is>
      </c>
      <c r="U83" s="3" t="n">
        <v>402</v>
      </c>
      <c r="V83" s="1">
        <f>IF($K83="To be purchased",COUNTIF($K$2:$K83,"To be purchased"),"")</f>
        <v/>
      </c>
    </row>
    <row r="84">
      <c r="A84" s="1" t="inlineStr">
        <is>
          <t>Actuators</t>
        </is>
      </c>
      <c r="B84" s="2" t="inlineStr">
        <is>
          <t>Gasket - Fluid, Acetal Homopolymer, Graco 288200</t>
        </is>
      </c>
      <c r="C84" s="2" t="inlineStr">
        <is>
          <t>12-C Pumps &amp; Pump Repair Kits</t>
        </is>
      </c>
      <c r="D84" s="1" t="inlineStr">
        <is>
          <t>Anand</t>
        </is>
      </c>
      <c r="E84" s="1" t="inlineStr">
        <is>
          <t>1</t>
        </is>
      </c>
      <c r="F84" s="1" t="inlineStr">
        <is>
          <t>Buy in US</t>
        </is>
      </c>
      <c r="G84" s="1" t="n"/>
      <c r="H84" s="1" t="inlineStr">
        <is>
          <t>No</t>
        </is>
      </c>
      <c r="I84" s="1" t="n"/>
      <c r="J84" s="1" t="n"/>
      <c r="K84" s="1" t="inlineStr">
        <is>
          <t>To be purchased</t>
        </is>
      </c>
      <c r="L84" s="3" t="n">
        <v>12</v>
      </c>
      <c r="M84" s="4" t="b">
        <v>0</v>
      </c>
      <c r="N84" s="3" t="n">
        <v>5</v>
      </c>
      <c r="O84" s="1" t="n"/>
      <c r="P84" s="1" t="n"/>
      <c r="Q84" s="1" t="n"/>
      <c r="R84" s="1" t="n"/>
      <c r="S84" s="1" t="n"/>
      <c r="T84" s="1" t="n"/>
      <c r="U84" s="3" t="n">
        <v>403</v>
      </c>
      <c r="V84" s="3">
        <f>IF($K84="To be purchased",COUNTIF($K$2:$K84,"To be purchased"),"")</f>
        <v/>
      </c>
    </row>
    <row r="85">
      <c r="A85" s="13" t="inlineStr">
        <is>
          <t>Actuators</t>
        </is>
      </c>
      <c r="B85" s="2" t="inlineStr">
        <is>
          <t>Gasket - Diffuser Valve, Graco 189970</t>
        </is>
      </c>
      <c r="C85" s="2" t="inlineStr">
        <is>
          <t>12-C Pumps &amp; Pump Repair Kits</t>
        </is>
      </c>
      <c r="D85" s="1" t="inlineStr">
        <is>
          <t>Anand</t>
        </is>
      </c>
      <c r="E85" s="1" t="inlineStr">
        <is>
          <t>1</t>
        </is>
      </c>
      <c r="F85" s="1" t="inlineStr">
        <is>
          <t>Buy in US</t>
        </is>
      </c>
      <c r="G85" s="1" t="n"/>
      <c r="H85" s="1" t="inlineStr">
        <is>
          <t>No</t>
        </is>
      </c>
      <c r="I85" s="1" t="n"/>
      <c r="J85" s="1" t="n"/>
      <c r="K85" s="1" t="inlineStr">
        <is>
          <t>To be purchased</t>
        </is>
      </c>
      <c r="L85" s="14" t="n">
        <v>12</v>
      </c>
      <c r="M85" s="4" t="b">
        <v>0</v>
      </c>
      <c r="N85" s="3" t="n">
        <v>5</v>
      </c>
      <c r="O85" s="1" t="n"/>
      <c r="P85" s="1" t="n"/>
      <c r="Q85" s="1" t="n"/>
      <c r="R85" s="1" t="n"/>
      <c r="S85" s="1" t="n"/>
      <c r="T85" s="2" t="inlineStr">
        <is>
          <t>[BOX CHANGED: 16 Mechanical parts -&gt; 12 Actuators]</t>
        </is>
      </c>
      <c r="U85" s="3" t="n">
        <v>404</v>
      </c>
      <c r="V85" s="3">
        <f>IF($K85="To be purchased",COUNTIF($K$2:$K85,"To be purchased"),"")</f>
        <v/>
      </c>
    </row>
    <row r="86">
      <c r="A86" s="13" t="inlineStr">
        <is>
          <t>Actuators</t>
        </is>
      </c>
      <c r="B86" s="2" t="inlineStr">
        <is>
          <t>Diffuser - Graco 288196</t>
        </is>
      </c>
      <c r="C86" s="2" t="inlineStr">
        <is>
          <t>12-C Pumps &amp; Pump Repair Kits</t>
        </is>
      </c>
      <c r="D86" s="1" t="inlineStr">
        <is>
          <t>Anand</t>
        </is>
      </c>
      <c r="E86" s="1" t="inlineStr">
        <is>
          <t>1</t>
        </is>
      </c>
      <c r="F86" s="1" t="inlineStr">
        <is>
          <t>Buy in US</t>
        </is>
      </c>
      <c r="G86" s="1" t="n"/>
      <c r="H86" s="1" t="inlineStr">
        <is>
          <t>No</t>
        </is>
      </c>
      <c r="I86" s="1" t="n"/>
      <c r="J86" s="1" t="n"/>
      <c r="K86" s="1" t="inlineStr">
        <is>
          <t>To be purchased</t>
        </is>
      </c>
      <c r="L86" s="14" t="n">
        <v>12</v>
      </c>
      <c r="M86" s="4" t="b">
        <v>0</v>
      </c>
      <c r="N86" s="3" t="n">
        <v>5</v>
      </c>
      <c r="O86" s="1" t="n"/>
      <c r="P86" s="1" t="n"/>
      <c r="Q86" s="1" t="n"/>
      <c r="R86" s="1" t="n"/>
      <c r="S86" s="1" t="n"/>
      <c r="T86" s="2" t="inlineStr">
        <is>
          <t>[BOX CHANGED: 16 Mechanical parts -&gt; 12 Actuators]</t>
        </is>
      </c>
      <c r="U86" s="3" t="n">
        <v>405</v>
      </c>
      <c r="V86" s="3">
        <f>IF($K86="To be purchased",COUNTIF($K$2:$K86,"To be purchased"),"")</f>
        <v/>
      </c>
    </row>
    <row r="87">
      <c r="A87" s="13" t="inlineStr">
        <is>
          <t>Actuators</t>
        </is>
      </c>
      <c r="B87" s="2" t="inlineStr">
        <is>
          <t>Spring - Compression, Small, Graco 114138</t>
        </is>
      </c>
      <c r="C87" s="2" t="inlineStr">
        <is>
          <t>12-C Pumps &amp; Pump Repair Kits</t>
        </is>
      </c>
      <c r="D87" s="1" t="inlineStr">
        <is>
          <t>Anand</t>
        </is>
      </c>
      <c r="E87" s="1" t="inlineStr">
        <is>
          <t>1</t>
        </is>
      </c>
      <c r="F87" s="1" t="inlineStr">
        <is>
          <t>Buy in US</t>
        </is>
      </c>
      <c r="G87" s="1" t="n"/>
      <c r="H87" s="1" t="inlineStr">
        <is>
          <t>No</t>
        </is>
      </c>
      <c r="I87" s="1" t="n"/>
      <c r="J87" s="1" t="n"/>
      <c r="K87" s="1" t="inlineStr">
        <is>
          <t>To be purchased</t>
        </is>
      </c>
      <c r="L87" s="14" t="n">
        <v>12</v>
      </c>
      <c r="M87" s="4" t="b">
        <v>0</v>
      </c>
      <c r="N87" s="3" t="n">
        <v>5</v>
      </c>
      <c r="O87" s="1" t="n"/>
      <c r="P87" s="1" t="n"/>
      <c r="Q87" s="1" t="n"/>
      <c r="R87" s="1" t="n"/>
      <c r="S87" s="1" t="n"/>
      <c r="T87" s="2" t="inlineStr">
        <is>
          <t>[BOX CHANGED: 16 Mechanical parts -&gt; 12 Actuators]</t>
        </is>
      </c>
      <c r="U87" s="3" t="n">
        <v>407</v>
      </c>
      <c r="V87" s="3">
        <f>IF($K87="To be purchased",COUNTIF($K$2:$K87,"To be purchased"),"")</f>
        <v/>
      </c>
    </row>
    <row r="88">
      <c r="A88" s="13" t="inlineStr">
        <is>
          <t>Actuators</t>
        </is>
      </c>
      <c r="B88" s="2" t="inlineStr">
        <is>
          <t>Spring - Compression, Large, Graco 114139</t>
        </is>
      </c>
      <c r="C88" s="2" t="inlineStr">
        <is>
          <t>12-C Pumps &amp; Pump Repair Kits</t>
        </is>
      </c>
      <c r="D88" s="1" t="inlineStr">
        <is>
          <t>Anand</t>
        </is>
      </c>
      <c r="E88" s="1" t="inlineStr">
        <is>
          <t>1</t>
        </is>
      </c>
      <c r="F88" s="1" t="inlineStr">
        <is>
          <t>Buy in US</t>
        </is>
      </c>
      <c r="G88" s="1" t="n"/>
      <c r="H88" s="1" t="inlineStr">
        <is>
          <t>No</t>
        </is>
      </c>
      <c r="I88" s="1" t="n"/>
      <c r="J88" s="1" t="n"/>
      <c r="K88" s="1" t="inlineStr">
        <is>
          <t>To be purchased</t>
        </is>
      </c>
      <c r="L88" s="14" t="n">
        <v>12</v>
      </c>
      <c r="M88" s="4" t="b">
        <v>0</v>
      </c>
      <c r="N88" s="3" t="n">
        <v>5</v>
      </c>
      <c r="O88" s="1" t="n"/>
      <c r="P88" s="1" t="n"/>
      <c r="Q88" s="1" t="n"/>
      <c r="R88" s="1" t="n"/>
      <c r="S88" s="1" t="n"/>
      <c r="T88" s="2" t="inlineStr">
        <is>
          <t>[BOX CHANGED: 16 Mechanical parts -&gt; 12 Actuators]</t>
        </is>
      </c>
      <c r="U88" s="3" t="n">
        <v>408</v>
      </c>
      <c r="V88" s="3">
        <f>IF($K88="To be purchased",COUNTIF($K$2:$K88,"To be purchased"),"")</f>
        <v/>
      </c>
    </row>
    <row r="89">
      <c r="A89" s="1" t="inlineStr">
        <is>
          <t>Actuators</t>
        </is>
      </c>
      <c r="B89" s="2" t="inlineStr">
        <is>
          <t>Valve - One-Way Flow Control, 3/8 in to 8 mm (GRLA-3/8-QS-8-D) - 5/2 exhaust</t>
        </is>
      </c>
      <c r="C89" s="2" t="inlineStr">
        <is>
          <t>12-D Valves &amp; Solenoids</t>
        </is>
      </c>
      <c r="D89" s="1" t="inlineStr">
        <is>
          <t>Anand</t>
        </is>
      </c>
      <c r="E89" s="1" t="inlineStr">
        <is>
          <t>2</t>
        </is>
      </c>
      <c r="F89" s="1" t="inlineStr">
        <is>
          <t>India</t>
        </is>
      </c>
      <c r="G89" s="1" t="n"/>
      <c r="H89" s="1" t="inlineStr">
        <is>
          <t>No</t>
        </is>
      </c>
      <c r="I89" s="1" t="n"/>
      <c r="J89" s="6">
        <f>IFERROR(HYPERLINK("https://docs.google.com/spreadsheets/d/10M8oEMfSST-xuPwcSARfQDNcQJ0xrCp8O9iHBGPAr34/edit?gid=1956219685&amp;range=A"&amp;MATCH("PR-2026-1561",'PR Lookup'!A:A,0),"PR-2026-1561"),"PR-2026-1561")</f>
        <v/>
      </c>
      <c r="K89" s="1" t="inlineStr">
        <is>
          <t>Payment Done</t>
        </is>
      </c>
      <c r="L89" s="3" t="n">
        <v>12</v>
      </c>
      <c r="M89" s="4" t="b">
        <v>0</v>
      </c>
      <c r="N89" s="3" t="n">
        <v>5</v>
      </c>
      <c r="O89" s="1" t="n"/>
      <c r="P89" s="1" t="n"/>
      <c r="Q89" s="1" t="n"/>
      <c r="R89" s="1" t="n"/>
      <c r="S89" s="1" t="n"/>
      <c r="T89" s="1" t="n"/>
      <c r="U89" s="3" t="n">
        <v>359</v>
      </c>
      <c r="V89" s="1">
        <f>IF($K89="To be purchased",COUNTIF($K$2:$K89,"To be purchased"),"")</f>
        <v/>
      </c>
    </row>
    <row r="90">
      <c r="A90" s="1" t="inlineStr">
        <is>
          <t>Actuators</t>
        </is>
      </c>
      <c r="B90" s="2" t="inlineStr">
        <is>
          <t>Valve - 5/2 Pneumatic, VUVS-L30-M52-AD-G38-F8</t>
        </is>
      </c>
      <c r="C90" s="2" t="inlineStr">
        <is>
          <t>12-D Valves &amp; Solenoids</t>
        </is>
      </c>
      <c r="D90" s="1" t="inlineStr">
        <is>
          <t>Anand</t>
        </is>
      </c>
      <c r="E90" s="1" t="inlineStr">
        <is>
          <t>1</t>
        </is>
      </c>
      <c r="F90" s="1" t="inlineStr">
        <is>
          <t>India</t>
        </is>
      </c>
      <c r="G90" s="1" t="n"/>
      <c r="H90" s="1" t="inlineStr">
        <is>
          <t>No</t>
        </is>
      </c>
      <c r="I90" s="1" t="n"/>
      <c r="J90" s="1" t="n"/>
      <c r="K90" s="1" t="inlineStr">
        <is>
          <t>In stock</t>
        </is>
      </c>
      <c r="L90" s="3" t="n">
        <v>12</v>
      </c>
      <c r="M90" s="4" t="b">
        <v>0</v>
      </c>
      <c r="N90" s="3" t="n">
        <v>5</v>
      </c>
      <c r="O90" s="1" t="n"/>
      <c r="P90" s="1" t="n"/>
      <c r="Q90" s="1" t="n"/>
      <c r="R90" s="1" t="n"/>
      <c r="S90" s="1" t="n"/>
      <c r="T90" s="1" t="n"/>
      <c r="U90" s="3" t="n">
        <v>364</v>
      </c>
      <c r="V90" s="1">
        <f>IF($K90="To be purchased",COUNTIF($K$2:$K90,"To be purchased"),"")</f>
        <v/>
      </c>
    </row>
    <row r="91">
      <c r="A91" s="13" t="inlineStr">
        <is>
          <t>Actuators</t>
        </is>
      </c>
      <c r="B91" s="2" t="inlineStr">
        <is>
          <t>Valve - 2/2 Pneumatic, E12612W</t>
        </is>
      </c>
      <c r="C91" s="2" t="inlineStr">
        <is>
          <t>12-D Valves &amp; Solenoids</t>
        </is>
      </c>
      <c r="D91" s="1" t="inlineStr">
        <is>
          <t>Anand</t>
        </is>
      </c>
      <c r="E91" s="1" t="inlineStr">
        <is>
          <t>1</t>
        </is>
      </c>
      <c r="F91" s="1" t="inlineStr">
        <is>
          <t>India</t>
        </is>
      </c>
      <c r="G91" s="1" t="n"/>
      <c r="H91" s="1" t="inlineStr">
        <is>
          <t>No</t>
        </is>
      </c>
      <c r="I91" s="1" t="n"/>
      <c r="J91" s="1" t="n"/>
      <c r="K91" s="1" t="inlineStr">
        <is>
          <t>In stock</t>
        </is>
      </c>
      <c r="L91" s="14" t="n">
        <v>12</v>
      </c>
      <c r="M91" s="4" t="b">
        <v>0</v>
      </c>
      <c r="N91" s="3" t="n">
        <v>5</v>
      </c>
      <c r="O91" s="1" t="n"/>
      <c r="P91" s="1" t="n"/>
      <c r="Q91" s="1" t="n"/>
      <c r="R91" s="1" t="n"/>
      <c r="S91" s="1" t="n"/>
      <c r="T91" s="2" t="inlineStr">
        <is>
          <t>[BOX CHANGED: 16 Mechanical parts -&gt; 12 Actuators]</t>
        </is>
      </c>
      <c r="U91" s="3" t="n">
        <v>365</v>
      </c>
      <c r="V91" s="1">
        <f>IF($K91="To be purchased",COUNTIF($K$2:$K91,"To be purchased"),"")</f>
        <v/>
      </c>
    </row>
    <row r="92">
      <c r="A92" s="1" t="inlineStr">
        <is>
          <t>Actuators</t>
        </is>
      </c>
      <c r="B92" s="2" t="inlineStr">
        <is>
          <t>Valve - 3/2 Pneumatic with 24 V Solenoid, DS245SR61</t>
        </is>
      </c>
      <c r="C92" s="2" t="inlineStr">
        <is>
          <t>12-D Valves &amp; Solenoids</t>
        </is>
      </c>
      <c r="D92" s="1" t="inlineStr">
        <is>
          <t>Anand</t>
        </is>
      </c>
      <c r="E92" s="1" t="inlineStr">
        <is>
          <t>1</t>
        </is>
      </c>
      <c r="F92" s="1" t="inlineStr">
        <is>
          <t>India</t>
        </is>
      </c>
      <c r="G92" s="1" t="n"/>
      <c r="H92" s="1" t="inlineStr">
        <is>
          <t>Yes</t>
        </is>
      </c>
      <c r="I92" s="1" t="n"/>
      <c r="J92" s="6">
        <f>IFERROR(HYPERLINK("https://docs.google.com/spreadsheets/d/10M8oEMfSST-xuPwcSARfQDNcQJ0xrCp8O9iHBGPAr34/edit?gid=1956219685&amp;range=A"&amp;MATCH("PR-2026-1566",'PR Lookup'!A:A,0),"PR-2026-1566"),"PR-2026-1566")</f>
        <v/>
      </c>
      <c r="K92" s="1" t="inlineStr">
        <is>
          <t>Payment Done</t>
        </is>
      </c>
      <c r="L92" s="3" t="n">
        <v>12</v>
      </c>
      <c r="M92" s="4" t="b">
        <v>0</v>
      </c>
      <c r="N92" s="3" t="n">
        <v>5</v>
      </c>
      <c r="O92" s="1" t="n"/>
      <c r="P92" s="1" t="n"/>
      <c r="Q92" s="12" t="inlineStr">
        <is>
          <t>https://docs.google.com/spreadsheets/d/10M8oEMfSST-xuPwcSARfQDNcQJ0xrCp8O9iHBGPAr34/edit?gid=1956219685#gid=1956219685&amp;range=C71</t>
        </is>
      </c>
      <c r="R92" s="1" t="n"/>
      <c r="S92" s="1" t="n"/>
      <c r="T92" s="15" t="inlineStr">
        <is>
          <t>24 V ---&gt; USA is 12V confirmed by Anand Gautam</t>
        </is>
      </c>
      <c r="U92" s="3" t="n">
        <v>366</v>
      </c>
      <c r="V92" s="1">
        <f>IF($K92="To be purchased",COUNTIF($K$2:$K92,"To be purchased"),"")</f>
        <v/>
      </c>
    </row>
    <row r="93">
      <c r="A93" s="1" t="inlineStr">
        <is>
          <t>Actuators</t>
        </is>
      </c>
      <c r="B93" s="2" t="inlineStr">
        <is>
          <t>Solenoid - for 5/2 Valve, VACF-B-C1-1</t>
        </is>
      </c>
      <c r="C93" s="2" t="inlineStr">
        <is>
          <t>12-D Valves &amp; Solenoids</t>
        </is>
      </c>
      <c r="D93" s="1" t="inlineStr">
        <is>
          <t>Anand</t>
        </is>
      </c>
      <c r="E93" s="1" t="inlineStr">
        <is>
          <t>1</t>
        </is>
      </c>
      <c r="F93" s="1" t="inlineStr">
        <is>
          <t>India</t>
        </is>
      </c>
      <c r="G93" s="1" t="n"/>
      <c r="H93" s="1" t="inlineStr">
        <is>
          <t>No</t>
        </is>
      </c>
      <c r="I93" s="1" t="n"/>
      <c r="J93" s="1" t="n"/>
      <c r="K93" s="1" t="inlineStr">
        <is>
          <t>In stock</t>
        </is>
      </c>
      <c r="L93" s="3" t="n">
        <v>12</v>
      </c>
      <c r="M93" s="4" t="b">
        <v>0</v>
      </c>
      <c r="N93" s="3" t="n">
        <v>5</v>
      </c>
      <c r="O93" s="1" t="n"/>
      <c r="P93" s="1" t="n"/>
      <c r="Q93" s="1" t="n"/>
      <c r="R93" s="1" t="n"/>
      <c r="S93" s="1" t="n"/>
      <c r="T93" s="1" t="n"/>
      <c r="U93" s="3" t="n">
        <v>367</v>
      </c>
      <c r="V93" s="1">
        <f>IF($K93="To be purchased",COUNTIF($K$2:$K93,"To be purchased"),"")</f>
        <v/>
      </c>
    </row>
    <row r="94">
      <c r="A94" s="1" t="inlineStr">
        <is>
          <t>Actuators</t>
        </is>
      </c>
      <c r="B94" s="2" t="inlineStr">
        <is>
          <t>Hose - Pneumatic, 6 mm OD, WH00B06</t>
        </is>
      </c>
      <c r="C94" s="2" t="inlineStr">
        <is>
          <t>12-E Pneumatic Fittings &amp; Hose</t>
        </is>
      </c>
      <c r="D94" s="1" t="inlineStr">
        <is>
          <t>Anand</t>
        </is>
      </c>
      <c r="E94" s="1" t="inlineStr">
        <is>
          <t>30ft</t>
        </is>
      </c>
      <c r="F94" s="1" t="inlineStr">
        <is>
          <t>India</t>
        </is>
      </c>
      <c r="G94" s="1" t="n"/>
      <c r="H94" s="1" t="inlineStr">
        <is>
          <t>No</t>
        </is>
      </c>
      <c r="I94" s="1" t="n"/>
      <c r="J94" s="1" t="n"/>
      <c r="K94" s="1" t="inlineStr">
        <is>
          <t>In stock</t>
        </is>
      </c>
      <c r="L94" s="3" t="n">
        <v>12</v>
      </c>
      <c r="M94" s="4" t="b">
        <v>0</v>
      </c>
      <c r="N94" s="3" t="n">
        <v>5</v>
      </c>
      <c r="O94" s="1" t="n"/>
      <c r="P94" s="1" t="n"/>
      <c r="Q94" s="1" t="n"/>
      <c r="R94" s="1" t="n"/>
      <c r="S94" s="1" t="inlineStr">
        <is>
          <t>Mobile (travels with robot)</t>
        </is>
      </c>
      <c r="T94" s="1" t="n"/>
      <c r="U94" s="3" t="n">
        <v>353</v>
      </c>
      <c r="V94" s="1">
        <f>IF($K94="To be purchased",COUNTIF($K$2:$K94,"To be purchased"),"")</f>
        <v/>
      </c>
    </row>
    <row r="95">
      <c r="A95" s="13" t="inlineStr">
        <is>
          <t>Actuators</t>
        </is>
      </c>
      <c r="B95" s="2" t="inlineStr">
        <is>
          <t>Fitting - Push-In Inline Union, 6 mm (PU-6)</t>
        </is>
      </c>
      <c r="C95" s="2" t="inlineStr">
        <is>
          <t>12-E Pneumatic Fittings &amp; Hose</t>
        </is>
      </c>
      <c r="D95" s="1" t="inlineStr">
        <is>
          <t>Anand</t>
        </is>
      </c>
      <c r="E95" s="1" t="inlineStr">
        <is>
          <t>2</t>
        </is>
      </c>
      <c r="F95" s="1" t="inlineStr">
        <is>
          <t>India</t>
        </is>
      </c>
      <c r="G95" s="1" t="n"/>
      <c r="H95" s="1" t="inlineStr">
        <is>
          <t>No</t>
        </is>
      </c>
      <c r="I95" s="1" t="n"/>
      <c r="J95" s="1" t="n"/>
      <c r="K95" s="1" t="inlineStr">
        <is>
          <t>In stock</t>
        </is>
      </c>
      <c r="L95" s="14" t="n">
        <v>12</v>
      </c>
      <c r="M95" s="4" t="b">
        <v>0</v>
      </c>
      <c r="N95" s="3" t="n">
        <v>5</v>
      </c>
      <c r="O95" s="1" t="n"/>
      <c r="P95" s="1" t="n"/>
      <c r="Q95" s="1" t="n"/>
      <c r="R95" s="1" t="n"/>
      <c r="S95" s="1" t="inlineStr">
        <is>
          <t>Mobile (travels with robot)</t>
        </is>
      </c>
      <c r="T95" s="2" t="inlineStr">
        <is>
          <t>[BOX CHANGED: 13 Wire, connector, cables &amp; crimps -&gt; 12 Actuators]</t>
        </is>
      </c>
      <c r="U95" s="3" t="n">
        <v>354</v>
      </c>
      <c r="V95" s="1">
        <f>IF($K95="To be purchased",COUNTIF($K$2:$K95,"To be purchased"),"")</f>
        <v/>
      </c>
    </row>
    <row r="96">
      <c r="A96" s="13" t="inlineStr">
        <is>
          <t>Actuators</t>
        </is>
      </c>
      <c r="B96" s="2" t="inlineStr">
        <is>
          <t>Fitting - Push-In with Flow Control, 1/8 in to 6 mm (GRLA-1/8-QS-6-RS-D) - piston inlet</t>
        </is>
      </c>
      <c r="C96" s="2" t="inlineStr">
        <is>
          <t>12-E Pneumatic Fittings &amp; Hose</t>
        </is>
      </c>
      <c r="D96" s="1" t="inlineStr">
        <is>
          <t>Anand</t>
        </is>
      </c>
      <c r="E96" s="1" t="inlineStr">
        <is>
          <t>8</t>
        </is>
      </c>
      <c r="F96" s="1" t="inlineStr">
        <is>
          <t>India</t>
        </is>
      </c>
      <c r="G96" s="1" t="n"/>
      <c r="H96" s="1" t="inlineStr">
        <is>
          <t>No</t>
        </is>
      </c>
      <c r="I96" s="1" t="n"/>
      <c r="J96" s="1" t="n"/>
      <c r="K96" s="1" t="inlineStr">
        <is>
          <t>In stock</t>
        </is>
      </c>
      <c r="L96" s="14" t="n">
        <v>12</v>
      </c>
      <c r="M96" s="4" t="b">
        <v>0</v>
      </c>
      <c r="N96" s="3" t="n">
        <v>5</v>
      </c>
      <c r="O96" s="1" t="n"/>
      <c r="P96" s="1" t="n"/>
      <c r="Q96" s="1" t="n"/>
      <c r="R96" s="1" t="n"/>
      <c r="S96" s="1" t="inlineStr">
        <is>
          <t>Mobile (travels with robot)</t>
        </is>
      </c>
      <c r="T96" s="2" t="inlineStr">
        <is>
          <t>[BOX CHANGED: 13 Wire, connector, cables &amp; crimps -&gt; 12 Actuators]</t>
        </is>
      </c>
      <c r="U96" s="3" t="n">
        <v>355</v>
      </c>
      <c r="V96" s="1">
        <f>IF($K96="To be purchased",COUNTIF($K$2:$K96,"To be purchased"),"")</f>
        <v/>
      </c>
    </row>
    <row r="97">
      <c r="A97" s="13" t="inlineStr">
        <is>
          <t>Actuators</t>
        </is>
      </c>
      <c r="B97" s="2" t="inlineStr">
        <is>
          <t>Fitting - Push-In Tee, 6 mm (QST-6)</t>
        </is>
      </c>
      <c r="C97" s="2" t="inlineStr">
        <is>
          <t>12-E Pneumatic Fittings &amp; Hose</t>
        </is>
      </c>
      <c r="D97" s="1" t="inlineStr">
        <is>
          <t>Anand</t>
        </is>
      </c>
      <c r="E97" s="1" t="inlineStr">
        <is>
          <t>7</t>
        </is>
      </c>
      <c r="F97" s="1" t="inlineStr">
        <is>
          <t>India</t>
        </is>
      </c>
      <c r="G97" s="1" t="n"/>
      <c r="H97" s="1" t="inlineStr">
        <is>
          <t>No</t>
        </is>
      </c>
      <c r="I97" s="1" t="n"/>
      <c r="J97" s="1" t="n"/>
      <c r="K97" s="1" t="inlineStr">
        <is>
          <t>In stock</t>
        </is>
      </c>
      <c r="L97" s="14" t="n">
        <v>12</v>
      </c>
      <c r="M97" s="4" t="b">
        <v>0</v>
      </c>
      <c r="N97" s="3" t="n">
        <v>5</v>
      </c>
      <c r="O97" s="1" t="n"/>
      <c r="P97" s="1" t="n"/>
      <c r="Q97" s="1" t="n"/>
      <c r="R97" s="1" t="n"/>
      <c r="S97" s="1" t="n"/>
      <c r="T97" s="2" t="inlineStr">
        <is>
          <t>[BOX CHANGED: 13 Wire, connector, cables &amp; crimps -&gt; 12 Actuators]</t>
        </is>
      </c>
      <c r="U97" s="3" t="n">
        <v>356</v>
      </c>
      <c r="V97" s="1">
        <f>IF($K97="To be purchased",COUNTIF($K$2:$K97,"To be purchased"),"")</f>
        <v/>
      </c>
    </row>
    <row r="98">
      <c r="A98" s="13" t="inlineStr">
        <is>
          <t>Actuators</t>
        </is>
      </c>
      <c r="B98" s="2" t="inlineStr">
        <is>
          <t>Fitting - Push-In Elbow, 1/4 in to 6 mm (QSL-1/4-6) - AutoGun</t>
        </is>
      </c>
      <c r="C98" s="2" t="inlineStr">
        <is>
          <t>12-E Pneumatic Fittings &amp; Hose</t>
        </is>
      </c>
      <c r="D98" s="1" t="inlineStr">
        <is>
          <t>Anand</t>
        </is>
      </c>
      <c r="E98" s="1" t="inlineStr">
        <is>
          <t>1</t>
        </is>
      </c>
      <c r="F98" s="1" t="inlineStr">
        <is>
          <t>India</t>
        </is>
      </c>
      <c r="G98" s="1" t="n"/>
      <c r="H98" s="1" t="inlineStr">
        <is>
          <t>No</t>
        </is>
      </c>
      <c r="I98" s="1" t="n"/>
      <c r="J98" s="1" t="n"/>
      <c r="K98" s="1" t="inlineStr">
        <is>
          <t>In stock</t>
        </is>
      </c>
      <c r="L98" s="14" t="n">
        <v>12</v>
      </c>
      <c r="M98" s="4" t="b">
        <v>0</v>
      </c>
      <c r="N98" s="3" t="n">
        <v>5</v>
      </c>
      <c r="O98" s="1" t="n"/>
      <c r="P98" s="1" t="n"/>
      <c r="Q98" s="1" t="n"/>
      <c r="R98" s="1" t="n"/>
      <c r="S98" s="1" t="n"/>
      <c r="T98" s="2" t="inlineStr">
        <is>
          <t>[BOX CHANGED: 16 Mechanical parts -&gt; 12 Actuators]</t>
        </is>
      </c>
      <c r="U98" s="3" t="n">
        <v>357</v>
      </c>
      <c r="V98" s="1">
        <f>IF($K98="To be purchased",COUNTIF($K$2:$K98,"To be purchased"),"")</f>
        <v/>
      </c>
    </row>
    <row r="99">
      <c r="A99" s="1" t="inlineStr">
        <is>
          <t>Actuators</t>
        </is>
      </c>
      <c r="B99" s="2" t="inlineStr">
        <is>
          <t>Fitting - Push-In Straight, 3/8 in to 6 mm (QS-3/8-6) - 5/2 valve inlet + outlet</t>
        </is>
      </c>
      <c r="C99" s="2" t="inlineStr">
        <is>
          <t>12-E Pneumatic Fittings &amp; Hose</t>
        </is>
      </c>
      <c r="D99" s="1" t="inlineStr">
        <is>
          <t>Anand</t>
        </is>
      </c>
      <c r="E99" s="1" t="inlineStr">
        <is>
          <t>3</t>
        </is>
      </c>
      <c r="F99" s="1" t="inlineStr">
        <is>
          <t>India</t>
        </is>
      </c>
      <c r="G99" s="1" t="n"/>
      <c r="H99" s="1" t="inlineStr">
        <is>
          <t>No</t>
        </is>
      </c>
      <c r="I99" s="1" t="n"/>
      <c r="J99" s="1" t="n"/>
      <c r="K99" s="1" t="inlineStr">
        <is>
          <t>In stock</t>
        </is>
      </c>
      <c r="L99" s="3" t="n">
        <v>12</v>
      </c>
      <c r="M99" s="4" t="b">
        <v>0</v>
      </c>
      <c r="N99" s="3" t="n">
        <v>5</v>
      </c>
      <c r="O99" s="1" t="n"/>
      <c r="P99" s="1" t="n"/>
      <c r="Q99" s="1" t="n"/>
      <c r="R99" s="1" t="n"/>
      <c r="S99" s="1" t="n"/>
      <c r="T99" s="1" t="n"/>
      <c r="U99" s="3" t="n">
        <v>358</v>
      </c>
      <c r="V99" s="1">
        <f>IF($K99="To be purchased",COUNTIF($K$2:$K99,"To be purchased"),"")</f>
        <v/>
      </c>
    </row>
    <row r="100">
      <c r="A100" s="13" t="inlineStr">
        <is>
          <t>Actuators</t>
        </is>
      </c>
      <c r="B100" s="2" t="inlineStr">
        <is>
          <t>Fitting - Push-In Reducer, 8 to 6 mm (QS-8-6)</t>
        </is>
      </c>
      <c r="C100" s="2" t="inlineStr">
        <is>
          <t>12-E Pneumatic Fittings &amp; Hose</t>
        </is>
      </c>
      <c r="D100" s="1" t="inlineStr">
        <is>
          <t>Anand</t>
        </is>
      </c>
      <c r="E100" s="1" t="inlineStr">
        <is>
          <t>2</t>
        </is>
      </c>
      <c r="F100" s="1" t="inlineStr">
        <is>
          <t>India</t>
        </is>
      </c>
      <c r="G100" s="1" t="n"/>
      <c r="H100" s="1" t="inlineStr">
        <is>
          <t>No</t>
        </is>
      </c>
      <c r="I100" s="1" t="n"/>
      <c r="J100" s="1" t="n"/>
      <c r="K100" s="1" t="inlineStr">
        <is>
          <t>In stock</t>
        </is>
      </c>
      <c r="L100" s="14" t="n">
        <v>12</v>
      </c>
      <c r="M100" s="4" t="b">
        <v>0</v>
      </c>
      <c r="N100" s="3" t="n">
        <v>5</v>
      </c>
      <c r="O100" s="1" t="n"/>
      <c r="P100" s="1" t="n"/>
      <c r="Q100" s="1" t="n"/>
      <c r="R100" s="1" t="n"/>
      <c r="S100" s="1" t="n"/>
      <c r="T100" s="2" t="inlineStr">
        <is>
          <t>[BOX CHANGED: 16 Mechanical parts -&gt; 12 Actuators]</t>
        </is>
      </c>
      <c r="U100" s="3" t="n">
        <v>360</v>
      </c>
      <c r="V100" s="1">
        <f>IF($K100="To be purchased",COUNTIF($K$2:$K100,"To be purchased"),"")</f>
        <v/>
      </c>
    </row>
    <row r="101">
      <c r="A101" s="13" t="inlineStr">
        <is>
          <t>Actuators</t>
        </is>
      </c>
      <c r="B101" s="2" t="inlineStr">
        <is>
          <t>Fitting - Muffler Connector, PCF6-02 - 5/2 exhaust</t>
        </is>
      </c>
      <c r="C101" s="2" t="inlineStr">
        <is>
          <t>12-E Pneumatic Fittings &amp; Hose</t>
        </is>
      </c>
      <c r="D101" s="1" t="inlineStr">
        <is>
          <t>Anand</t>
        </is>
      </c>
      <c r="E101" s="1" t="inlineStr">
        <is>
          <t>2</t>
        </is>
      </c>
      <c r="F101" s="1" t="inlineStr">
        <is>
          <t>India</t>
        </is>
      </c>
      <c r="G101" s="1" t="n"/>
      <c r="H101" s="1" t="inlineStr">
        <is>
          <t>No</t>
        </is>
      </c>
      <c r="I101" s="1" t="n"/>
      <c r="J101" s="6">
        <f>IFERROR(HYPERLINK("https://docs.google.com/spreadsheets/d/10M8oEMfSST-xuPwcSARfQDNcQJ0xrCp8O9iHBGPAr34/edit?gid=1956219685&amp;range=A"&amp;MATCH("PR-2026-1562",'PR Lookup'!A:A,0),"PR-2026-1562"),"PR-2026-1562")</f>
        <v/>
      </c>
      <c r="K101" s="1" t="inlineStr">
        <is>
          <t>Payment Done</t>
        </is>
      </c>
      <c r="L101" s="14" t="n">
        <v>12</v>
      </c>
      <c r="M101" s="4" t="b">
        <v>0</v>
      </c>
      <c r="N101" s="3" t="n">
        <v>5</v>
      </c>
      <c r="O101" s="1" t="n"/>
      <c r="P101" s="1" t="n"/>
      <c r="Q101" s="1" t="n"/>
      <c r="R101" s="1" t="n"/>
      <c r="S101" s="1" t="n"/>
      <c r="T101" s="2" t="inlineStr">
        <is>
          <t>[BOX CHANGED: 13 Wire, connector, cables &amp; crimps -&gt; 12 Actuators]</t>
        </is>
      </c>
      <c r="U101" s="3" t="n">
        <v>361</v>
      </c>
      <c r="V101" s="1">
        <f>IF($K101="To be purchased",COUNTIF($K$2:$K101,"To be purchased"),"")</f>
        <v/>
      </c>
    </row>
    <row r="102">
      <c r="A102" s="13" t="inlineStr">
        <is>
          <t>Actuators</t>
        </is>
      </c>
      <c r="B102" s="2" t="inlineStr">
        <is>
          <t>Muffler - Brass, 1/4 in - 5/2 + 3/2 exhaust</t>
        </is>
      </c>
      <c r="C102" s="2" t="inlineStr">
        <is>
          <t>12-E Pneumatic Fittings &amp; Hose</t>
        </is>
      </c>
      <c r="D102" s="1" t="inlineStr">
        <is>
          <t>Anand</t>
        </is>
      </c>
      <c r="E102" s="1" t="inlineStr">
        <is>
          <t>2</t>
        </is>
      </c>
      <c r="F102" s="1" t="inlineStr">
        <is>
          <t>India</t>
        </is>
      </c>
      <c r="G102" s="1" t="n"/>
      <c r="H102" s="1" t="inlineStr">
        <is>
          <t>No</t>
        </is>
      </c>
      <c r="I102" s="1" t="n"/>
      <c r="J102" s="6">
        <f>IFERROR(HYPERLINK("https://docs.google.com/spreadsheets/d/10M8oEMfSST-xuPwcSARfQDNcQJ0xrCp8O9iHBGPAr34/edit?gid=1956219685&amp;range=A"&amp;MATCH("PR-2026-1563",'PR Lookup'!A:A,0),"PR-2026-1563"),"PR-2026-1563")</f>
        <v/>
      </c>
      <c r="K102" s="1" t="inlineStr">
        <is>
          <t>Payment Done</t>
        </is>
      </c>
      <c r="L102" s="14" t="n">
        <v>12</v>
      </c>
      <c r="M102" s="4" t="b">
        <v>0</v>
      </c>
      <c r="N102" s="3" t="n">
        <v>5</v>
      </c>
      <c r="O102" s="1" t="n"/>
      <c r="P102" s="1" t="n"/>
      <c r="Q102" s="1" t="n"/>
      <c r="R102" s="1" t="n"/>
      <c r="S102" s="1" t="n"/>
      <c r="T102" s="2" t="inlineStr">
        <is>
          <t>[BOX CHANGED: 16 Mechanical parts -&gt; 12 Actuators]</t>
        </is>
      </c>
      <c r="U102" s="3" t="n">
        <v>362</v>
      </c>
      <c r="V102" s="1">
        <f>IF($K102="To be purchased",COUNTIF($K$2:$K102,"To be purchased"),"")</f>
        <v/>
      </c>
    </row>
    <row r="103">
      <c r="A103" s="1" t="inlineStr">
        <is>
          <t>Actuators</t>
        </is>
      </c>
      <c r="B103" s="2" t="inlineStr">
        <is>
          <t>Fitting - Push-In, WP2110651 - 2/2 and 3/2 valve ports</t>
        </is>
      </c>
      <c r="C103" s="2" t="inlineStr">
        <is>
          <t>12-E Pneumatic Fittings &amp; Hose</t>
        </is>
      </c>
      <c r="D103" s="1" t="inlineStr">
        <is>
          <t>Anand</t>
        </is>
      </c>
      <c r="E103" s="1" t="inlineStr">
        <is>
          <t>4</t>
        </is>
      </c>
      <c r="F103" s="1" t="inlineStr">
        <is>
          <t>India</t>
        </is>
      </c>
      <c r="G103" s="1" t="n"/>
      <c r="H103" s="1" t="inlineStr">
        <is>
          <t>No</t>
        </is>
      </c>
      <c r="I103" s="1" t="n"/>
      <c r="J103" s="1" t="n"/>
      <c r="K103" s="1" t="inlineStr">
        <is>
          <t>In stock</t>
        </is>
      </c>
      <c r="L103" s="3" t="n">
        <v>12</v>
      </c>
      <c r="M103" s="4" t="b">
        <v>0</v>
      </c>
      <c r="N103" s="3" t="n">
        <v>5</v>
      </c>
      <c r="O103" s="1" t="n"/>
      <c r="P103" s="1" t="n"/>
      <c r="Q103" s="1" t="n"/>
      <c r="R103" s="1" t="n"/>
      <c r="S103" s="1" t="n"/>
      <c r="T103" s="1" t="n"/>
      <c r="U103" s="3" t="n">
        <v>363</v>
      </c>
      <c r="V103" s="1">
        <f>IF($K103="To be purchased",COUNTIF($K$2:$K103,"To be purchased"),"")</f>
        <v/>
      </c>
    </row>
    <row r="104">
      <c r="A104" s="1" t="inlineStr">
        <is>
          <t>Actuators</t>
        </is>
      </c>
      <c r="B104" s="2" t="inlineStr">
        <is>
          <t>Latch - Electromagnetic, EM6-FBT1224</t>
        </is>
      </c>
      <c r="C104" s="2" t="inlineStr">
        <is>
          <t>12-F Latches</t>
        </is>
      </c>
      <c r="D104" s="1" t="inlineStr">
        <is>
          <t>Badri</t>
        </is>
      </c>
      <c r="E104" s="1" t="n">
        <v>1</v>
      </c>
      <c r="F104" s="1" t="inlineStr">
        <is>
          <t>India</t>
        </is>
      </c>
      <c r="G104" s="1" t="n"/>
      <c r="H104" s="1" t="inlineStr">
        <is>
          <t>No</t>
        </is>
      </c>
      <c r="I104" s="1" t="n"/>
      <c r="J104" s="1" t="n"/>
      <c r="K104" s="1" t="inlineStr">
        <is>
          <t>IQC Stage</t>
        </is>
      </c>
      <c r="L104" s="3" t="n">
        <v>12</v>
      </c>
      <c r="M104" s="4" t="b">
        <v>0</v>
      </c>
      <c r="N104" s="3" t="n">
        <v>5</v>
      </c>
      <c r="O104" s="1" t="n"/>
      <c r="P104" s="1" t="n"/>
      <c r="Q104" s="1" t="n"/>
      <c r="R104" s="1" t="n"/>
      <c r="S104" s="1" t="inlineStr">
        <is>
          <t>NY Stationary (stays in NY inventory)</t>
        </is>
      </c>
      <c r="T104" s="1" t="n"/>
      <c r="U104" s="3" t="n">
        <v>80</v>
      </c>
      <c r="V104" s="1">
        <f>IF($K104="To be purchased",COUNTIF($K$2:$K104,"To be purchased"),"")</f>
        <v/>
      </c>
    </row>
    <row r="105">
      <c r="A105" s="13" t="inlineStr">
        <is>
          <t>Actuators</t>
        </is>
      </c>
      <c r="B105" s="2" t="inlineStr">
        <is>
          <t>Latch - Electromechanical, KR-S79N</t>
        </is>
      </c>
      <c r="C105" s="2" t="inlineStr">
        <is>
          <t>12-F Latches</t>
        </is>
      </c>
      <c r="D105" s="1" t="inlineStr">
        <is>
          <t>Anand</t>
        </is>
      </c>
      <c r="E105" s="1" t="n">
        <v>2</v>
      </c>
      <c r="F105" s="1" t="inlineStr">
        <is>
          <t>India</t>
        </is>
      </c>
      <c r="G105" s="1" t="n"/>
      <c r="H105" s="1" t="inlineStr">
        <is>
          <t>Yes</t>
        </is>
      </c>
      <c r="I105" s="5" t="n"/>
      <c r="J105" s="6">
        <f>IFERROR(HYPERLINK("https://docs.google.com/spreadsheets/d/10M8oEMfSST-xuPwcSARfQDNcQJ0xrCp8O9iHBGPAr34/edit?gid=1956219685&amp;range=A"&amp;MATCH("PR-2026-1565",'PR Lookup'!A:A,0),"PR-2026-1565"),"PR-2026-1565")</f>
        <v/>
      </c>
      <c r="K105" s="1" t="inlineStr">
        <is>
          <t>Payment Done</t>
        </is>
      </c>
      <c r="L105" s="14" t="n">
        <v>12</v>
      </c>
      <c r="M105" s="4" t="b">
        <v>0</v>
      </c>
      <c r="N105" s="3" t="n">
        <v>5</v>
      </c>
      <c r="O105" s="1" t="n"/>
      <c r="P105" s="1" t="n"/>
      <c r="Q105" s="1" t="n"/>
      <c r="R105" s="1" t="n"/>
      <c r="S105" s="1" t="n"/>
      <c r="T105" s="2" t="inlineStr">
        <is>
          <t>[BOX CHANGED: 16 Mechanical parts -&gt; 12 Actuators]</t>
        </is>
      </c>
      <c r="U105" s="3" t="n">
        <v>371</v>
      </c>
      <c r="V105" s="1">
        <f>IF($K105="To be purchased",COUNTIF($K$2:$K105,"To be purchased"),"")</f>
        <v/>
      </c>
    </row>
    <row r="106">
      <c r="A106" s="13" t="inlineStr">
        <is>
          <t>Actuators</t>
        </is>
      </c>
      <c r="B106" s="2" t="inlineStr">
        <is>
          <t>Hose - Airless Paint, Graco BlueMax II 3/8 in x 50 ft (240797)</t>
        </is>
      </c>
      <c r="C106" s="2" t="inlineStr">
        <is>
          <t>12-G Spray Gun &amp; Applicator</t>
        </is>
      </c>
      <c r="D106" s="1" t="inlineStr">
        <is>
          <t>Anand</t>
        </is>
      </c>
      <c r="E106" s="1" t="inlineStr">
        <is>
          <t>1</t>
        </is>
      </c>
      <c r="F106" s="1" t="inlineStr">
        <is>
          <t>India</t>
        </is>
      </c>
      <c r="G106" s="1" t="n"/>
      <c r="H106" s="1" t="inlineStr">
        <is>
          <t>No</t>
        </is>
      </c>
      <c r="I106" s="1" t="n"/>
      <c r="J106" s="1" t="n"/>
      <c r="K106" s="1" t="inlineStr">
        <is>
          <t>In stock</t>
        </is>
      </c>
      <c r="L106" s="14" t="n">
        <v>12</v>
      </c>
      <c r="M106" s="4" t="b">
        <v>0</v>
      </c>
      <c r="N106" s="3" t="n">
        <v>5</v>
      </c>
      <c r="O106" s="1" t="n"/>
      <c r="P106" s="1" t="n"/>
      <c r="Q106" s="1" t="n"/>
      <c r="R106" s="1" t="n"/>
      <c r="S106" s="1" t="n"/>
      <c r="T106" s="2" t="inlineStr">
        <is>
          <t>[BOX CHANGED: 14 Custom PCB -&gt; 12 Actuators]</t>
        </is>
      </c>
      <c r="U106" s="3" t="n">
        <v>399</v>
      </c>
      <c r="V106" s="1">
        <f>IF($K106="To be purchased",COUNTIF($K$2:$K106,"To be purchased"),"")</f>
        <v/>
      </c>
    </row>
    <row r="107">
      <c r="A107" s="13" t="inlineStr">
        <is>
          <t>Actuators</t>
        </is>
      </c>
      <c r="B107" s="2" t="inlineStr">
        <is>
          <t>Spray Gun - Graco AutoGun, 26C264</t>
        </is>
      </c>
      <c r="C107" s="2" t="inlineStr">
        <is>
          <t>12-G Spray Gun &amp; Applicator</t>
        </is>
      </c>
      <c r="D107" s="1" t="inlineStr">
        <is>
          <t>Anand</t>
        </is>
      </c>
      <c r="E107" s="1" t="inlineStr">
        <is>
          <t>1</t>
        </is>
      </c>
      <c r="F107" s="1" t="inlineStr">
        <is>
          <t>India</t>
        </is>
      </c>
      <c r="G107" s="1" t="n"/>
      <c r="H107" s="1" t="inlineStr">
        <is>
          <t>No</t>
        </is>
      </c>
      <c r="I107" s="1" t="n"/>
      <c r="J107" s="1" t="n"/>
      <c r="K107" s="1" t="inlineStr">
        <is>
          <t>In stock</t>
        </is>
      </c>
      <c r="L107" s="14" t="n">
        <v>12</v>
      </c>
      <c r="M107" s="4" t="b">
        <v>0</v>
      </c>
      <c r="N107" s="3" t="n">
        <v>5</v>
      </c>
      <c r="O107" s="1" t="n"/>
      <c r="P107" s="1" t="n"/>
      <c r="Q107" s="1" t="n"/>
      <c r="R107" s="1" t="n"/>
      <c r="S107" s="1" t="n"/>
      <c r="T107" s="2" t="inlineStr">
        <is>
          <t>[BOX CHANGED: 16 Mechanical parts -&gt; 12 Actuators]</t>
        </is>
      </c>
      <c r="U107" s="3" t="n">
        <v>400</v>
      </c>
      <c r="V107" s="1">
        <f>IF($K107="To be purchased",COUNTIF($K$2:$K107,"To be purchased"),"")</f>
        <v/>
      </c>
    </row>
    <row r="108">
      <c r="A108" s="1" t="inlineStr">
        <is>
          <t>Actuators</t>
        </is>
      </c>
      <c r="B108" s="2" t="inlineStr">
        <is>
          <t>Needle - Cartridge Assembly, Graco 24B916</t>
        </is>
      </c>
      <c r="C108" s="2" t="inlineStr">
        <is>
          <t>12-G Spray Gun &amp; Applicator</t>
        </is>
      </c>
      <c r="D108" s="1" t="inlineStr">
        <is>
          <t>Anand</t>
        </is>
      </c>
      <c r="E108" s="1" t="inlineStr">
        <is>
          <t>1</t>
        </is>
      </c>
      <c r="F108" s="1" t="inlineStr">
        <is>
          <t>Buy in US</t>
        </is>
      </c>
      <c r="G108" s="1" t="n"/>
      <c r="H108" s="1" t="inlineStr">
        <is>
          <t>No</t>
        </is>
      </c>
      <c r="I108" s="1" t="n"/>
      <c r="J108" s="1" t="n"/>
      <c r="K108" s="1" t="inlineStr">
        <is>
          <t>To be purchased</t>
        </is>
      </c>
      <c r="L108" s="3" t="n">
        <v>12</v>
      </c>
      <c r="M108" s="4" t="b">
        <v>0</v>
      </c>
      <c r="N108" s="3" t="n">
        <v>5</v>
      </c>
      <c r="O108" s="1" t="n"/>
      <c r="P108" s="1" t="n"/>
      <c r="Q108" s="1" t="n"/>
      <c r="R108" s="1" t="n"/>
      <c r="S108" s="1" t="n"/>
      <c r="T108" s="1" t="n"/>
      <c r="U108" s="3" t="n">
        <v>406</v>
      </c>
      <c r="V108" s="3">
        <f>IF($K108="To be purchased",COUNTIF($K$2:$K108,"To be purchased"),"")</f>
        <v/>
      </c>
    </row>
    <row r="109">
      <c r="A109" s="1" t="inlineStr">
        <is>
          <t>Actuators</t>
        </is>
      </c>
      <c r="B109" s="2" t="inlineStr">
        <is>
          <t>Rod End - Piston, Custom</t>
        </is>
      </c>
      <c r="C109" s="2" t="inlineStr">
        <is>
          <t>12-H Piston &amp; Cylinder Parts</t>
        </is>
      </c>
      <c r="D109" s="1" t="inlineStr">
        <is>
          <t>Anand</t>
        </is>
      </c>
      <c r="E109" s="1" t="inlineStr">
        <is>
          <t>4</t>
        </is>
      </c>
      <c r="F109" s="1" t="inlineStr">
        <is>
          <t>India</t>
        </is>
      </c>
      <c r="G109" s="1" t="n"/>
      <c r="H109" s="1" t="inlineStr">
        <is>
          <t>No</t>
        </is>
      </c>
      <c r="I109" s="1" t="n"/>
      <c r="J109" s="1" t="n"/>
      <c r="K109" s="1" t="inlineStr">
        <is>
          <t>In stock</t>
        </is>
      </c>
      <c r="L109" s="3" t="n">
        <v>12</v>
      </c>
      <c r="M109" s="4" t="b">
        <v>0</v>
      </c>
      <c r="N109" s="3" t="n">
        <v>5</v>
      </c>
      <c r="O109" s="1" t="n"/>
      <c r="P109" s="1" t="n"/>
      <c r="Q109" s="1" t="n"/>
      <c r="R109" s="1" t="n"/>
      <c r="S109" s="1" t="n"/>
      <c r="T109" s="1" t="n"/>
      <c r="U109" s="3" t="n">
        <v>369</v>
      </c>
      <c r="V109" s="1">
        <f>IF($K109="To be purchased",COUNTIF($K$2:$K109,"To be purchased"),"")</f>
        <v/>
      </c>
    </row>
    <row r="110">
      <c r="A110" s="1" t="inlineStr">
        <is>
          <t>Actuators</t>
        </is>
      </c>
      <c r="B110" s="2" t="inlineStr">
        <is>
          <t>Bolt - Countersunk (CSK), M6 x 15 mm - piston rod end</t>
        </is>
      </c>
      <c r="C110" s="2" t="inlineStr">
        <is>
          <t>12-H Piston &amp; Cylinder Parts</t>
        </is>
      </c>
      <c r="D110" s="1" t="inlineStr">
        <is>
          <t>Anand</t>
        </is>
      </c>
      <c r="E110" s="1" t="inlineStr">
        <is>
          <t>8</t>
        </is>
      </c>
      <c r="F110" s="1" t="inlineStr">
        <is>
          <t>India</t>
        </is>
      </c>
      <c r="G110" s="1" t="n"/>
      <c r="H110" s="1" t="inlineStr">
        <is>
          <t>No</t>
        </is>
      </c>
      <c r="I110" s="1" t="n"/>
      <c r="J110" s="6">
        <f>IFERROR(HYPERLINK("https://docs.google.com/spreadsheets/d/10M8oEMfSST-xuPwcSARfQDNcQJ0xrCp8O9iHBGPAr34/edit?gid=1956219685&amp;range=A"&amp;MATCH("PR-2026-1564",'PR Lookup'!A:A,0),"PR-2026-1564"),"PR-2026-1564")</f>
        <v/>
      </c>
      <c r="K110" s="1" t="inlineStr">
        <is>
          <t>PR Raised</t>
        </is>
      </c>
      <c r="L110" s="3" t="n">
        <v>12</v>
      </c>
      <c r="M110" s="4" t="b">
        <v>0</v>
      </c>
      <c r="N110" s="3" t="n">
        <v>5</v>
      </c>
      <c r="O110" s="1" t="n"/>
      <c r="P110" s="1" t="n"/>
      <c r="Q110" s="1" t="n"/>
      <c r="R110" s="1" t="n"/>
      <c r="S110" s="1" t="n"/>
      <c r="T110" s="1" t="n"/>
      <c r="U110" s="3" t="n">
        <v>370</v>
      </c>
      <c r="V110" s="1">
        <f>IF($K110="To be purchased",COUNTIF($K$2:$K110,"To be purchased"),"")</f>
        <v/>
      </c>
    </row>
    <row r="111">
      <c r="A111" s="13" t="inlineStr">
        <is>
          <t>Wire, connector, cables &amp; crimps</t>
        </is>
      </c>
      <c r="B111" s="2" t="inlineStr">
        <is>
          <t>Wire - Silicone, 4 AWG, Red</t>
        </is>
      </c>
      <c r="C111" s="2" t="inlineStr">
        <is>
          <t>13-A Wire - Bulk</t>
        </is>
      </c>
      <c r="D111" s="1" t="inlineStr">
        <is>
          <t>Badri</t>
        </is>
      </c>
      <c r="E111" s="1" t="inlineStr">
        <is>
          <t>1</t>
        </is>
      </c>
      <c r="F111" s="1" t="inlineStr">
        <is>
          <t>India</t>
        </is>
      </c>
      <c r="G111" s="1" t="n"/>
      <c r="H111" s="1" t="inlineStr">
        <is>
          <t>No</t>
        </is>
      </c>
      <c r="I111" s="1" t="n"/>
      <c r="J111" s="1" t="n"/>
      <c r="K111" s="1" t="inlineStr">
        <is>
          <t>In stock</t>
        </is>
      </c>
      <c r="L111" s="14" t="n">
        <v>13</v>
      </c>
      <c r="M111" s="4" t="b">
        <v>0</v>
      </c>
      <c r="N111" s="3" t="n">
        <v>5</v>
      </c>
      <c r="O111" s="1" t="n"/>
      <c r="P111" s="1" t="n"/>
      <c r="Q111" s="1" t="n"/>
      <c r="R111" s="1" t="n"/>
      <c r="S111" s="1" t="inlineStr">
        <is>
          <t>Mobile (travels with robot)</t>
        </is>
      </c>
      <c r="T111" s="2" t="inlineStr">
        <is>
          <t>[BOX ASSIGNED: 13 Wire, connector, cables &amp; crimps - was unassigned]</t>
        </is>
      </c>
      <c r="U111" s="3" t="n">
        <v>598</v>
      </c>
      <c r="V111" s="1">
        <f>IF($K111="To be purchased",COUNTIF($K$2:$K111,"To be purchased"),"")</f>
        <v/>
      </c>
    </row>
    <row r="112">
      <c r="A112" s="13" t="inlineStr">
        <is>
          <t>Wire, connector, cables &amp; crimps</t>
        </is>
      </c>
      <c r="B112" s="2" t="inlineStr">
        <is>
          <t>Wire - Silicone, 4 AWG, Black</t>
        </is>
      </c>
      <c r="C112" s="2" t="inlineStr">
        <is>
          <t>13-A Wire - Bulk</t>
        </is>
      </c>
      <c r="D112" s="1" t="inlineStr">
        <is>
          <t>Badri</t>
        </is>
      </c>
      <c r="E112" s="1" t="inlineStr">
        <is>
          <t>1</t>
        </is>
      </c>
      <c r="F112" s="1" t="inlineStr">
        <is>
          <t>India</t>
        </is>
      </c>
      <c r="G112" s="1" t="n"/>
      <c r="H112" s="1" t="inlineStr">
        <is>
          <t>No</t>
        </is>
      </c>
      <c r="I112" s="1" t="n"/>
      <c r="J112" s="1" t="n"/>
      <c r="K112" s="1" t="inlineStr">
        <is>
          <t>In stock</t>
        </is>
      </c>
      <c r="L112" s="14" t="n">
        <v>13</v>
      </c>
      <c r="M112" s="4" t="b">
        <v>0</v>
      </c>
      <c r="N112" s="3" t="n">
        <v>5</v>
      </c>
      <c r="O112" s="1" t="n"/>
      <c r="P112" s="1" t="n"/>
      <c r="Q112" s="1" t="n"/>
      <c r="R112" s="1" t="n"/>
      <c r="S112" s="1" t="inlineStr">
        <is>
          <t>Mobile (travels with robot)</t>
        </is>
      </c>
      <c r="T112" s="2" t="inlineStr">
        <is>
          <t>[BOX ASSIGNED: 13 Wire, connector, cables &amp; crimps - was unassigned]</t>
        </is>
      </c>
      <c r="U112" s="3" t="n">
        <v>599</v>
      </c>
      <c r="V112" s="1">
        <f>IF($K112="To be purchased",COUNTIF($K$2:$K112,"To be purchased"),"")</f>
        <v/>
      </c>
    </row>
    <row r="113">
      <c r="A113" s="13" t="inlineStr">
        <is>
          <t>Wire, connector, cables &amp; crimps</t>
        </is>
      </c>
      <c r="B113" s="2" t="inlineStr">
        <is>
          <t>Earth Wire 18 AWG</t>
        </is>
      </c>
      <c r="C113" s="2" t="inlineStr">
        <is>
          <t>13-A Wire - Bulk</t>
        </is>
      </c>
      <c r="D113" s="1" t="inlineStr">
        <is>
          <t>Badri</t>
        </is>
      </c>
      <c r="E113" s="1" t="n">
        <v>3</v>
      </c>
      <c r="F113" s="1" t="inlineStr">
        <is>
          <t>India</t>
        </is>
      </c>
      <c r="G113" s="1" t="n"/>
      <c r="H113" s="1" t="inlineStr">
        <is>
          <t>No</t>
        </is>
      </c>
      <c r="I113" s="1" t="n"/>
      <c r="J113" s="1" t="n"/>
      <c r="K113" s="1" t="inlineStr">
        <is>
          <t>In stock</t>
        </is>
      </c>
      <c r="L113" s="14" t="n">
        <v>13</v>
      </c>
      <c r="M113" s="4" t="b">
        <v>0</v>
      </c>
      <c r="N113" s="3" t="n">
        <v>5</v>
      </c>
      <c r="O113" s="1" t="n"/>
      <c r="P113" s="1" t="n"/>
      <c r="Q113" s="1" t="n"/>
      <c r="R113" s="1" t="n"/>
      <c r="S113" s="1" t="n"/>
      <c r="T113" s="1" t="n"/>
      <c r="U113" s="1" t="n"/>
      <c r="V113" s="1" t="n"/>
    </row>
    <row r="114">
      <c r="A114" s="13" t="inlineStr">
        <is>
          <t>Wire, connector, cables &amp; crimps</t>
        </is>
      </c>
      <c r="B114" s="2" t="inlineStr">
        <is>
          <t>3 Core Shielded AC cable</t>
        </is>
      </c>
      <c r="C114" s="2" t="inlineStr">
        <is>
          <t>13-A Wire - Bulk</t>
        </is>
      </c>
      <c r="D114" s="1" t="inlineStr">
        <is>
          <t>Badri</t>
        </is>
      </c>
      <c r="E114" s="8" t="n">
        <v>3</v>
      </c>
      <c r="F114" s="1" t="inlineStr">
        <is>
          <t>India</t>
        </is>
      </c>
      <c r="G114" s="1" t="n"/>
      <c r="H114" s="1" t="inlineStr">
        <is>
          <t>No</t>
        </is>
      </c>
      <c r="I114" s="1" t="n"/>
      <c r="J114" s="1" t="n"/>
      <c r="K114" s="1" t="inlineStr">
        <is>
          <t>In stock</t>
        </is>
      </c>
      <c r="L114" s="14" t="n">
        <v>13</v>
      </c>
      <c r="M114" s="4" t="b">
        <v>0</v>
      </c>
      <c r="N114" s="3" t="n">
        <v>5</v>
      </c>
      <c r="O114" s="1" t="n"/>
      <c r="P114" s="1" t="n"/>
      <c r="Q114" s="1" t="n"/>
      <c r="R114" s="1" t="n"/>
      <c r="S114" s="1" t="n"/>
      <c r="T114" s="1" t="n"/>
      <c r="U114" s="1" t="n"/>
      <c r="V114" s="1" t="n"/>
    </row>
    <row r="115">
      <c r="A115" s="13" t="inlineStr">
        <is>
          <t>Wire, connector, cables &amp; crimps</t>
        </is>
      </c>
      <c r="B115" s="2" t="inlineStr">
        <is>
          <t>Wire - Silicone, 8 AWG, Red</t>
        </is>
      </c>
      <c r="C115" s="2" t="inlineStr">
        <is>
          <t>13-A Wire - Bulk</t>
        </is>
      </c>
      <c r="D115" s="1" t="inlineStr">
        <is>
          <t>Badri</t>
        </is>
      </c>
      <c r="E115" s="1" t="inlineStr">
        <is>
          <t>1</t>
        </is>
      </c>
      <c r="F115" s="1" t="inlineStr">
        <is>
          <t>India</t>
        </is>
      </c>
      <c r="G115" s="1" t="n"/>
      <c r="H115" s="1" t="inlineStr">
        <is>
          <t>No</t>
        </is>
      </c>
      <c r="I115" s="1" t="n"/>
      <c r="J115" s="1" t="n"/>
      <c r="K115" s="1" t="inlineStr">
        <is>
          <t>In stock</t>
        </is>
      </c>
      <c r="L115" s="14" t="n">
        <v>13</v>
      </c>
      <c r="M115" s="4" t="b">
        <v>0</v>
      </c>
      <c r="N115" s="3" t="n">
        <v>5</v>
      </c>
      <c r="O115" s="1" t="n"/>
      <c r="P115" s="1" t="n"/>
      <c r="Q115" s="1" t="n"/>
      <c r="R115" s="1" t="n"/>
      <c r="S115" s="1" t="inlineStr">
        <is>
          <t>Mobile (travels with robot)</t>
        </is>
      </c>
      <c r="T115" s="2" t="inlineStr">
        <is>
          <t>[BOX ASSIGNED: 13 Wire, connector, cables &amp; crimps - was unassigned]</t>
        </is>
      </c>
      <c r="U115" s="3" t="n">
        <v>602</v>
      </c>
      <c r="V115" s="1">
        <f>IF($K115="To be purchased",COUNTIF($K$2:$K115,"To be purchased"),"")</f>
        <v/>
      </c>
    </row>
    <row r="116">
      <c r="A116" s="13" t="inlineStr">
        <is>
          <t>Wire, connector, cables &amp; crimps</t>
        </is>
      </c>
      <c r="B116" s="2" t="inlineStr">
        <is>
          <t>Wire - Silicone, 8 AWG, Black</t>
        </is>
      </c>
      <c r="C116" s="2" t="inlineStr">
        <is>
          <t>13-A Wire - Bulk</t>
        </is>
      </c>
      <c r="D116" s="1" t="inlineStr">
        <is>
          <t>Badri</t>
        </is>
      </c>
      <c r="E116" s="1" t="inlineStr">
        <is>
          <t>1</t>
        </is>
      </c>
      <c r="F116" s="1" t="inlineStr">
        <is>
          <t>India</t>
        </is>
      </c>
      <c r="G116" s="1" t="n"/>
      <c r="H116" s="1" t="inlineStr">
        <is>
          <t>No</t>
        </is>
      </c>
      <c r="I116" s="1" t="n"/>
      <c r="J116" s="1" t="n"/>
      <c r="K116" s="1" t="inlineStr">
        <is>
          <t>In stock</t>
        </is>
      </c>
      <c r="L116" s="14" t="n">
        <v>13</v>
      </c>
      <c r="M116" s="4" t="b">
        <v>0</v>
      </c>
      <c r="N116" s="3" t="n">
        <v>5</v>
      </c>
      <c r="O116" s="1" t="n"/>
      <c r="P116" s="1" t="n"/>
      <c r="Q116" s="1" t="n"/>
      <c r="R116" s="1" t="n"/>
      <c r="S116" s="1" t="inlineStr">
        <is>
          <t>Mobile (travels with robot)</t>
        </is>
      </c>
      <c r="T116" s="2" t="inlineStr">
        <is>
          <t>[BOX ASSIGNED: 13 Wire, connector, cables &amp; crimps - was unassigned]</t>
        </is>
      </c>
      <c r="U116" s="3" t="n">
        <v>603</v>
      </c>
      <c r="V116" s="1">
        <f>IF($K116="To be purchased",COUNTIF($K$2:$K116,"To be purchased"),"")</f>
        <v/>
      </c>
    </row>
    <row r="117">
      <c r="A117" s="13" t="inlineStr">
        <is>
          <t>Wire, connector, cables &amp; crimps</t>
        </is>
      </c>
      <c r="B117" s="2" t="inlineStr">
        <is>
          <t>Wire - Silicone, 14 AWG, Red</t>
        </is>
      </c>
      <c r="C117" s="2" t="inlineStr">
        <is>
          <t>13-A Wire - Bulk</t>
        </is>
      </c>
      <c r="D117" s="1" t="inlineStr">
        <is>
          <t>Badri</t>
        </is>
      </c>
      <c r="E117" s="1" t="n">
        <v>5</v>
      </c>
      <c r="F117" s="1" t="inlineStr">
        <is>
          <t>India</t>
        </is>
      </c>
      <c r="G117" s="1" t="n"/>
      <c r="H117" s="1" t="inlineStr">
        <is>
          <t>No</t>
        </is>
      </c>
      <c r="I117" s="1" t="n"/>
      <c r="J117" s="1" t="n"/>
      <c r="K117" s="1" t="inlineStr">
        <is>
          <t>In stock</t>
        </is>
      </c>
      <c r="L117" s="14" t="n">
        <v>13</v>
      </c>
      <c r="M117" s="4" t="b">
        <v>0</v>
      </c>
      <c r="N117" s="3" t="n">
        <v>5</v>
      </c>
      <c r="O117" s="1" t="n"/>
      <c r="P117" s="1" t="n"/>
      <c r="Q117" s="1" t="n"/>
      <c r="R117" s="1" t="n"/>
      <c r="S117" s="1" t="inlineStr">
        <is>
          <t>Mobile (travels with robot)</t>
        </is>
      </c>
      <c r="T117" s="2" t="inlineStr">
        <is>
          <t>[BOX ASSIGNED: 13 Wire, connector, cables &amp; crimps - was unassigned]</t>
        </is>
      </c>
      <c r="U117" s="3" t="n">
        <v>606</v>
      </c>
      <c r="V117" s="1">
        <f>IF($K117="To be purchased",COUNTIF($K$2:$K117,"To be purchased"),"")</f>
        <v/>
      </c>
    </row>
    <row r="118">
      <c r="A118" s="13" t="inlineStr">
        <is>
          <t>Wire, connector, cables &amp; crimps</t>
        </is>
      </c>
      <c r="B118" s="2" t="inlineStr">
        <is>
          <t>Wire - Silicone, 14 AWG, Black</t>
        </is>
      </c>
      <c r="C118" s="2" t="inlineStr">
        <is>
          <t>13-A Wire - Bulk</t>
        </is>
      </c>
      <c r="D118" s="1" t="inlineStr">
        <is>
          <t>Badri</t>
        </is>
      </c>
      <c r="E118" s="1" t="n">
        <v>5</v>
      </c>
      <c r="F118" s="1" t="inlineStr">
        <is>
          <t>India</t>
        </is>
      </c>
      <c r="G118" s="1" t="n"/>
      <c r="H118" s="1" t="inlineStr">
        <is>
          <t>No</t>
        </is>
      </c>
      <c r="I118" s="1" t="n"/>
      <c r="J118" s="1" t="n"/>
      <c r="K118" s="1" t="inlineStr">
        <is>
          <t>In stock</t>
        </is>
      </c>
      <c r="L118" s="14" t="n">
        <v>13</v>
      </c>
      <c r="M118" s="4" t="b">
        <v>0</v>
      </c>
      <c r="N118" s="3" t="n">
        <v>5</v>
      </c>
      <c r="O118" s="1" t="n"/>
      <c r="P118" s="1" t="n"/>
      <c r="Q118" s="1" t="n"/>
      <c r="R118" s="1" t="n"/>
      <c r="S118" s="1" t="inlineStr">
        <is>
          <t>Mobile (travels with robot)</t>
        </is>
      </c>
      <c r="T118" s="2" t="inlineStr">
        <is>
          <t>[BOX ASSIGNED: 13 Wire, connector, cables &amp; crimps - was unassigned]</t>
        </is>
      </c>
      <c r="U118" s="3" t="n">
        <v>607</v>
      </c>
      <c r="V118" s="1">
        <f>IF($K118="To be purchased",COUNTIF($K$2:$K118,"To be purchased"),"")</f>
        <v/>
      </c>
    </row>
    <row r="119">
      <c r="A119" s="1" t="inlineStr">
        <is>
          <t>Wire, connector, cables &amp; crimps</t>
        </is>
      </c>
      <c r="B119" s="2" t="inlineStr">
        <is>
          <t>Cable - Lidar Power + Ethernet (shortened) - HHM</t>
        </is>
      </c>
      <c r="C119" s="2" t="inlineStr">
        <is>
          <t>13-C Cables - Ethernet &amp; Data</t>
        </is>
      </c>
      <c r="D119" s="1" t="inlineStr">
        <is>
          <t>Uttez</t>
        </is>
      </c>
      <c r="E119" s="1" t="inlineStr">
        <is>
          <t>1</t>
        </is>
      </c>
      <c r="F119" s="1" t="inlineStr">
        <is>
          <t>India</t>
        </is>
      </c>
      <c r="G119" s="1" t="n"/>
      <c r="H119" s="1" t="inlineStr">
        <is>
          <t>No</t>
        </is>
      </c>
      <c r="I119" s="1" t="n"/>
      <c r="J119" s="1" t="n"/>
      <c r="K119" s="1" t="inlineStr">
        <is>
          <t>To be Prepared</t>
        </is>
      </c>
      <c r="L119" s="3" t="n">
        <v>13</v>
      </c>
      <c r="M119" s="4" t="b">
        <v>0</v>
      </c>
      <c r="N119" s="3" t="n">
        <v>5</v>
      </c>
      <c r="O119" s="1" t="n"/>
      <c r="P119" s="1" t="n"/>
      <c r="Q119" s="1" t="n"/>
      <c r="R119" s="1" t="n"/>
      <c r="S119" s="1" t="inlineStr">
        <is>
          <t>Mobile (travels with robot)</t>
        </is>
      </c>
      <c r="T119" s="1" t="n"/>
      <c r="U119" s="3" t="n">
        <v>145</v>
      </c>
      <c r="V119" s="1">
        <f>IF($K119="To be purchased",COUNTIF($K$2:$K119,"To be purchased"),"")</f>
        <v/>
      </c>
    </row>
    <row r="120">
      <c r="A120" s="1" t="inlineStr">
        <is>
          <t>Wire, connector, cables &amp; crimps</t>
        </is>
      </c>
      <c r="B120" s="2" t="inlineStr">
        <is>
          <t>Cable - USB A to USB C</t>
        </is>
      </c>
      <c r="C120" s="2" t="inlineStr">
        <is>
          <t>13-C Cables - Ethernet &amp; Data</t>
        </is>
      </c>
      <c r="D120" s="1" t="inlineStr">
        <is>
          <t>Uttez</t>
        </is>
      </c>
      <c r="E120" s="1" t="inlineStr">
        <is>
          <t>1</t>
        </is>
      </c>
      <c r="F120" s="1" t="inlineStr">
        <is>
          <t>India</t>
        </is>
      </c>
      <c r="G120" s="1" t="n"/>
      <c r="H120" s="1" t="inlineStr">
        <is>
          <t>No</t>
        </is>
      </c>
      <c r="I120" s="1" t="n"/>
      <c r="J120" s="1" t="n"/>
      <c r="K120" s="1" t="inlineStr">
        <is>
          <t>In stock</t>
        </is>
      </c>
      <c r="L120" s="3" t="n">
        <v>13</v>
      </c>
      <c r="M120" s="4" t="b">
        <v>0</v>
      </c>
      <c r="N120" s="3" t="n">
        <v>5</v>
      </c>
      <c r="O120" s="1" t="n"/>
      <c r="P120" s="1" t="n"/>
      <c r="Q120" s="1" t="n"/>
      <c r="R120" s="1" t="n"/>
      <c r="S120" s="1" t="inlineStr">
        <is>
          <t>Mobile (travels with robot)</t>
        </is>
      </c>
      <c r="T120" s="1" t="n"/>
      <c r="U120" s="3" t="n">
        <v>147</v>
      </c>
      <c r="V120" s="1">
        <f>IF($K120="To be purchased",COUNTIF($K$2:$K120,"To be purchased"),"")</f>
        <v/>
      </c>
    </row>
    <row r="121">
      <c r="A121" s="13" t="inlineStr">
        <is>
          <t>Wire, connector, cables &amp; crimps</t>
        </is>
      </c>
      <c r="B121" s="2" t="inlineStr">
        <is>
          <t>Wire - Silicone, 20 AWG, Red</t>
        </is>
      </c>
      <c r="C121" s="2" t="inlineStr">
        <is>
          <t>13-A Wire - Bulk</t>
        </is>
      </c>
      <c r="D121" s="1" t="inlineStr">
        <is>
          <t>Badri</t>
        </is>
      </c>
      <c r="E121" s="1" t="n">
        <v>10</v>
      </c>
      <c r="F121" s="1" t="inlineStr">
        <is>
          <t>India</t>
        </is>
      </c>
      <c r="G121" s="1" t="n"/>
      <c r="H121" s="1" t="inlineStr">
        <is>
          <t>No</t>
        </is>
      </c>
      <c r="I121" s="1" t="n"/>
      <c r="J121" s="1" t="n"/>
      <c r="K121" s="1" t="inlineStr">
        <is>
          <t>In stock</t>
        </is>
      </c>
      <c r="L121" s="14" t="n">
        <v>13</v>
      </c>
      <c r="M121" s="4" t="b">
        <v>0</v>
      </c>
      <c r="N121" s="3" t="n">
        <v>5</v>
      </c>
      <c r="O121" s="1" t="n"/>
      <c r="P121" s="1" t="n"/>
      <c r="Q121" s="1" t="n"/>
      <c r="R121" s="1" t="n"/>
      <c r="S121" s="1" t="inlineStr">
        <is>
          <t>Mobile (travels with robot)</t>
        </is>
      </c>
      <c r="T121" s="2" t="inlineStr">
        <is>
          <t>[BOX ASSIGNED: 13 Wire, connector, cables &amp; crimps - was unassigned]</t>
        </is>
      </c>
      <c r="U121" s="3" t="n">
        <v>612</v>
      </c>
      <c r="V121" s="1">
        <f>IF($K121="To be purchased",COUNTIF($K$2:$K121,"To be purchased"),"")</f>
        <v/>
      </c>
    </row>
    <row r="122">
      <c r="A122" s="13" t="inlineStr">
        <is>
          <t>Wire, connector, cables &amp; crimps</t>
        </is>
      </c>
      <c r="B122" s="2" t="inlineStr">
        <is>
          <t>Wire - Silicone, 20 AWG, Black</t>
        </is>
      </c>
      <c r="C122" s="2" t="inlineStr">
        <is>
          <t>13-A Wire - Bulk</t>
        </is>
      </c>
      <c r="D122" s="1" t="inlineStr">
        <is>
          <t>Badri</t>
        </is>
      </c>
      <c r="E122" s="1" t="n">
        <v>10</v>
      </c>
      <c r="F122" s="1" t="inlineStr">
        <is>
          <t>India</t>
        </is>
      </c>
      <c r="G122" s="1" t="n"/>
      <c r="H122" s="1" t="inlineStr">
        <is>
          <t>No</t>
        </is>
      </c>
      <c r="I122" s="1" t="n"/>
      <c r="J122" s="1" t="n"/>
      <c r="K122" s="1" t="inlineStr">
        <is>
          <t>In stock</t>
        </is>
      </c>
      <c r="L122" s="14" t="n">
        <v>13</v>
      </c>
      <c r="M122" s="4" t="b">
        <v>0</v>
      </c>
      <c r="N122" s="3" t="n">
        <v>5</v>
      </c>
      <c r="O122" s="1" t="n"/>
      <c r="P122" s="1" t="n"/>
      <c r="Q122" s="1" t="n"/>
      <c r="R122" s="1" t="n"/>
      <c r="S122" s="1" t="inlineStr">
        <is>
          <t>Mobile (travels with robot)</t>
        </is>
      </c>
      <c r="T122" s="2" t="inlineStr">
        <is>
          <t>[BOX ASSIGNED: 13 Wire, connector, cables &amp; crimps - was unassigned]</t>
        </is>
      </c>
      <c r="U122" s="3" t="n">
        <v>613</v>
      </c>
      <c r="V122" s="1">
        <f>IF($K122="To be purchased",COUNTIF($K$2:$K122,"To be purchased"),"")</f>
        <v/>
      </c>
    </row>
    <row r="123">
      <c r="A123" s="1" t="inlineStr">
        <is>
          <t>Wire, connector, cables &amp; crimps</t>
        </is>
      </c>
      <c r="B123" s="2" t="inlineStr">
        <is>
          <t>Wire - PVC, 24 AWG, 2 Core</t>
        </is>
      </c>
      <c r="C123" s="2" t="inlineStr">
        <is>
          <t>13-A Wire - Bulk</t>
        </is>
      </c>
      <c r="D123" s="1" t="inlineStr">
        <is>
          <t>Badri</t>
        </is>
      </c>
      <c r="E123" s="7" t="inlineStr">
        <is>
          <t>10</t>
        </is>
      </c>
      <c r="F123" s="1" t="inlineStr">
        <is>
          <t>India</t>
        </is>
      </c>
      <c r="G123" s="1" t="n"/>
      <c r="H123" s="1" t="inlineStr">
        <is>
          <t>No</t>
        </is>
      </c>
      <c r="I123" s="1" t="n"/>
      <c r="J123" s="1" t="n"/>
      <c r="K123" s="1" t="inlineStr">
        <is>
          <t>PR Raised</t>
        </is>
      </c>
      <c r="L123" s="3" t="n">
        <v>13</v>
      </c>
      <c r="M123" s="4" t="b">
        <v>0</v>
      </c>
      <c r="N123" s="3" t="n">
        <v>5</v>
      </c>
      <c r="O123" s="1" t="n"/>
      <c r="P123" s="1" t="n"/>
      <c r="Q123" s="1" t="n"/>
      <c r="R123" s="1" t="n"/>
      <c r="S123" s="1" t="inlineStr">
        <is>
          <t>Mobile (travels with robot)</t>
        </is>
      </c>
      <c r="T123" s="2" t="inlineStr">
        <is>
          <t>[BOX ASSIGNED: 13 Wire, connector, cables &amp; crimps - was unassigned]</t>
        </is>
      </c>
      <c r="U123" s="3" t="n">
        <v>614</v>
      </c>
      <c r="V123" s="1">
        <f>IF($K123="To be purchased",COUNTIF($K$2:$K123,"To be purchased"),"")</f>
        <v/>
      </c>
    </row>
    <row r="124">
      <c r="A124" s="1" t="inlineStr">
        <is>
          <t>Wire, connector, cables &amp; crimps</t>
        </is>
      </c>
      <c r="B124" s="2" t="inlineStr">
        <is>
          <t>Cable - Brake Wire - mechanical override for latches</t>
        </is>
      </c>
      <c r="C124" s="2" t="inlineStr">
        <is>
          <t>13-B Cables - Assembled</t>
        </is>
      </c>
      <c r="D124" s="1" t="inlineStr">
        <is>
          <t>SANKALP</t>
        </is>
      </c>
      <c r="E124" s="1" t="inlineStr">
        <is>
          <t>2</t>
        </is>
      </c>
      <c r="F124" s="1" t="inlineStr">
        <is>
          <t>India</t>
        </is>
      </c>
      <c r="G124" s="1" t="n"/>
      <c r="H124" s="1" t="inlineStr">
        <is>
          <t>No</t>
        </is>
      </c>
      <c r="I124" s="5" t="n"/>
      <c r="J124" s="6">
        <f>IFERROR(HYPERLINK("https://docs.google.com/spreadsheets/d/10M8oEMfSST-xuPwcSARfQDNcQJ0xrCp8O9iHBGPAr34/edit?gid=1956219685&amp;range=A"&amp;MATCH("PR-2026-1669",'PR Lookup'!A:A,0),"PR-2026-1669"),"PR-2026-1669")</f>
        <v/>
      </c>
      <c r="K124" s="1" t="inlineStr">
        <is>
          <t>PR Raised</t>
        </is>
      </c>
      <c r="L124" s="3" t="n">
        <v>13</v>
      </c>
      <c r="M124" s="4" t="b">
        <v>0</v>
      </c>
      <c r="N124" s="3" t="n">
        <v>5</v>
      </c>
      <c r="O124" s="1" t="n"/>
      <c r="P124" s="1" t="n"/>
      <c r="Q124" s="1" t="inlineStr">
        <is>
          <t>LINK</t>
        </is>
      </c>
      <c r="R124" s="1" t="n"/>
      <c r="S124" s="1" t="n"/>
      <c r="T124" s="1" t="n"/>
      <c r="U124" s="3" t="n">
        <v>441</v>
      </c>
      <c r="V124" s="1">
        <f>IF($K124="To be purchased",COUNTIF($K$2:$K124,"To be purchased"),"")</f>
        <v/>
      </c>
    </row>
    <row r="125">
      <c r="A125" s="1" t="inlineStr">
        <is>
          <t>Wire, connector, cables &amp; crimps</t>
        </is>
      </c>
      <c r="B125" s="2" t="inlineStr">
        <is>
          <t>Cable - Ethernet Cat 6, 12 cm - HHM lidar to Orin</t>
        </is>
      </c>
      <c r="C125" s="2" t="inlineStr">
        <is>
          <t>13-C Cables - Ethernet &amp; Data</t>
        </is>
      </c>
      <c r="D125" s="1" t="inlineStr">
        <is>
          <t>Uttez</t>
        </is>
      </c>
      <c r="E125" s="1" t="n">
        <v>1</v>
      </c>
      <c r="F125" s="1" t="inlineStr">
        <is>
          <t>India</t>
        </is>
      </c>
      <c r="G125" s="1" t="n"/>
      <c r="H125" s="1" t="inlineStr">
        <is>
          <t>No</t>
        </is>
      </c>
      <c r="I125" s="1" t="n"/>
      <c r="J125" s="1" t="n"/>
      <c r="K125" s="1" t="inlineStr">
        <is>
          <t>In stock</t>
        </is>
      </c>
      <c r="L125" s="3" t="n">
        <v>13</v>
      </c>
      <c r="M125" s="4" t="b">
        <v>0</v>
      </c>
      <c r="N125" s="3" t="n">
        <v>5</v>
      </c>
      <c r="O125" s="1" t="n"/>
      <c r="P125" s="1" t="n"/>
      <c r="Q125" s="1" t="n"/>
      <c r="R125" s="1" t="n"/>
      <c r="S125" s="1" t="inlineStr">
        <is>
          <t>Mobile (travels with robot)</t>
        </is>
      </c>
      <c r="T125" s="1" t="n"/>
      <c r="U125" s="3" t="n">
        <v>141</v>
      </c>
      <c r="V125" s="1">
        <f>IF($K125="To be purchased",COUNTIF($K$2:$K125,"To be purchased"),"")</f>
        <v/>
      </c>
    </row>
    <row r="126">
      <c r="A126" s="1" t="inlineStr">
        <is>
          <t>Wire, connector, cables &amp; crimps</t>
        </is>
      </c>
      <c r="B126" s="2" t="inlineStr">
        <is>
          <t>Cable - USB C to USB C</t>
        </is>
      </c>
      <c r="C126" s="2" t="inlineStr">
        <is>
          <t>13-C Cables - Ethernet &amp; Data</t>
        </is>
      </c>
      <c r="D126" s="1" t="inlineStr">
        <is>
          <t>Uttez</t>
        </is>
      </c>
      <c r="E126" s="1" t="inlineStr">
        <is>
          <t>1</t>
        </is>
      </c>
      <c r="F126" s="1" t="inlineStr">
        <is>
          <t>India</t>
        </is>
      </c>
      <c r="G126" s="1" t="n"/>
      <c r="H126" s="1" t="inlineStr">
        <is>
          <t>No</t>
        </is>
      </c>
      <c r="I126" s="1" t="n"/>
      <c r="J126" s="1" t="n"/>
      <c r="K126" s="1" t="inlineStr">
        <is>
          <t>In stock</t>
        </is>
      </c>
      <c r="L126" s="3" t="n">
        <v>13</v>
      </c>
      <c r="M126" s="4" t="b">
        <v>0</v>
      </c>
      <c r="N126" s="3" t="n">
        <v>5</v>
      </c>
      <c r="O126" s="1" t="n"/>
      <c r="P126" s="1" t="n"/>
      <c r="Q126" s="1" t="n"/>
      <c r="R126" s="1" t="n"/>
      <c r="S126" s="1" t="inlineStr">
        <is>
          <t>Mobile (travels with robot)</t>
        </is>
      </c>
      <c r="T126" s="1" t="n"/>
      <c r="U126" s="3" t="n">
        <v>148</v>
      </c>
      <c r="V126" s="1">
        <f>IF($K126="To be purchased",COUNTIF($K$2:$K126,"To be purchased"),"")</f>
        <v/>
      </c>
    </row>
    <row r="127">
      <c r="A127" s="1" t="inlineStr">
        <is>
          <t>Wire, connector, cables &amp; crimps</t>
        </is>
      </c>
      <c r="B127" s="2" t="inlineStr">
        <is>
          <t>Cable - FFC, 0.5 mm pitch, 22-position</t>
        </is>
      </c>
      <c r="C127" s="2" t="inlineStr">
        <is>
          <t>13-C Cables - Ethernet &amp; Data</t>
        </is>
      </c>
      <c r="D127" s="1" t="inlineStr">
        <is>
          <t>Uttez</t>
        </is>
      </c>
      <c r="E127" s="1" t="n">
        <v>1</v>
      </c>
      <c r="F127" s="1" t="inlineStr">
        <is>
          <t>India</t>
        </is>
      </c>
      <c r="G127" s="1" t="n"/>
      <c r="H127" s="1" t="inlineStr">
        <is>
          <t>No</t>
        </is>
      </c>
      <c r="I127" s="1" t="n"/>
      <c r="J127" s="1" t="n"/>
      <c r="K127" s="1" t="inlineStr">
        <is>
          <t>IQC Stage</t>
        </is>
      </c>
      <c r="L127" s="3" t="n">
        <v>13</v>
      </c>
      <c r="M127" s="4" t="b">
        <v>0</v>
      </c>
      <c r="N127" s="3" t="n">
        <v>5</v>
      </c>
      <c r="O127" s="1" t="n"/>
      <c r="P127" s="1" t="n"/>
      <c r="Q127" s="1" t="n"/>
      <c r="R127" s="1" t="n"/>
      <c r="S127" s="1" t="inlineStr">
        <is>
          <t>Mobile (travels with robot)</t>
        </is>
      </c>
      <c r="T127" s="1" t="n"/>
      <c r="U127" s="3" t="n">
        <v>151</v>
      </c>
      <c r="V127" s="1">
        <f>IF($K127="To be purchased",COUNTIF($K$2:$K127,"To be purchased"),"")</f>
        <v/>
      </c>
    </row>
    <row r="128">
      <c r="A128" s="1" t="inlineStr">
        <is>
          <t>Wire, connector, cables &amp; crimps</t>
        </is>
      </c>
      <c r="B128" s="2" t="inlineStr">
        <is>
          <t>Adapter - DisplayPort to HDMI</t>
        </is>
      </c>
      <c r="C128" s="2" t="inlineStr">
        <is>
          <t>13-C Cables - Ethernet &amp; Data</t>
        </is>
      </c>
      <c r="D128" s="1" t="inlineStr">
        <is>
          <t>Uttez</t>
        </is>
      </c>
      <c r="E128" s="1" t="inlineStr">
        <is>
          <t>1</t>
        </is>
      </c>
      <c r="F128" s="1" t="inlineStr">
        <is>
          <t>India</t>
        </is>
      </c>
      <c r="G128" s="1" t="n"/>
      <c r="H128" s="1" t="inlineStr">
        <is>
          <t>No</t>
        </is>
      </c>
      <c r="I128" s="1" t="n"/>
      <c r="J128" s="1" t="n"/>
      <c r="K128" s="1" t="inlineStr">
        <is>
          <t>Hold</t>
        </is>
      </c>
      <c r="L128" s="3" t="n">
        <v>13</v>
      </c>
      <c r="M128" s="4" t="b">
        <v>0</v>
      </c>
      <c r="N128" s="3" t="n">
        <v>5</v>
      </c>
      <c r="O128" s="1" t="n"/>
      <c r="P128" s="1" t="n"/>
      <c r="Q128" s="1" t="n"/>
      <c r="R128" s="1" t="n"/>
      <c r="S128" s="1" t="inlineStr">
        <is>
          <t>Mobile (travels with robot)</t>
        </is>
      </c>
      <c r="T128" s="1" t="n"/>
      <c r="U128" s="3" t="n">
        <v>157</v>
      </c>
      <c r="V128" s="1">
        <f>IF($K128="To be purchased",COUNTIF($K$2:$K128,"To be purchased"),"")</f>
        <v/>
      </c>
    </row>
    <row r="129">
      <c r="A129" s="1" t="inlineStr">
        <is>
          <t>Wire, connector, cables &amp; crimps</t>
        </is>
      </c>
      <c r="B129" s="2" t="inlineStr">
        <is>
          <t>Cable - Ethernet M12 X-Code to RJ45 - EOA Sander</t>
        </is>
      </c>
      <c r="C129" s="2" t="inlineStr">
        <is>
          <t>13-C Cables - Ethernet &amp; Data</t>
        </is>
      </c>
      <c r="D129" s="1" t="inlineStr">
        <is>
          <t>Uttez</t>
        </is>
      </c>
      <c r="E129" s="1" t="n">
        <v>2</v>
      </c>
      <c r="F129" s="1" t="inlineStr">
        <is>
          <t>India</t>
        </is>
      </c>
      <c r="G129" s="1" t="n"/>
      <c r="H129" s="1" t="inlineStr">
        <is>
          <t>No</t>
        </is>
      </c>
      <c r="I129" s="1" t="n"/>
      <c r="J129" s="1" t="inlineStr">
        <is>
          <t>PR-2026-1528</t>
        </is>
      </c>
      <c r="K129" s="1" t="inlineStr">
        <is>
          <t>Payment Done</t>
        </is>
      </c>
      <c r="L129" s="3" t="n">
        <v>13</v>
      </c>
      <c r="M129" s="4" t="b">
        <v>0</v>
      </c>
      <c r="N129" s="3" t="n">
        <v>5</v>
      </c>
      <c r="O129" s="1" t="n"/>
      <c r="P129" s="1" t="n"/>
      <c r="Q129" s="1" t="n"/>
      <c r="R129" s="1" t="n"/>
      <c r="S129" s="1" t="inlineStr">
        <is>
          <t>Mobile (travels with robot)</t>
        </is>
      </c>
      <c r="T129" s="2" t="inlineStr">
        <is>
          <t>Also stocked in: Tool Spares / Sander EBOM. Kept separate on purpose - one per box.</t>
        </is>
      </c>
      <c r="U129" s="3" t="n">
        <v>454</v>
      </c>
      <c r="V129" s="1">
        <f>IF($K129="To be purchased",COUNTIF($K$2:$K129,"To be purchased"),"")</f>
        <v/>
      </c>
    </row>
    <row r="130">
      <c r="A130" s="1" t="inlineStr">
        <is>
          <t>Wire, connector, cables &amp; crimps</t>
        </is>
      </c>
      <c r="B130" s="2" t="inlineStr">
        <is>
          <t>Cable - Ethernet M12 X-Code to RJ45 - EOA Sprayer</t>
        </is>
      </c>
      <c r="C130" s="2" t="inlineStr">
        <is>
          <t>13-C Cables - Ethernet &amp; Data</t>
        </is>
      </c>
      <c r="D130" s="1" t="inlineStr">
        <is>
          <t>Uttez</t>
        </is>
      </c>
      <c r="E130" s="1" t="n">
        <v>2</v>
      </c>
      <c r="F130" s="1" t="inlineStr">
        <is>
          <t>India</t>
        </is>
      </c>
      <c r="G130" s="1" t="n"/>
      <c r="H130" s="1" t="inlineStr">
        <is>
          <t>No</t>
        </is>
      </c>
      <c r="I130" s="1" t="n"/>
      <c r="J130" s="1" t="inlineStr">
        <is>
          <t>PR-2026-1528</t>
        </is>
      </c>
      <c r="K130" s="1" t="inlineStr">
        <is>
          <t>Payment Done</t>
        </is>
      </c>
      <c r="L130" s="3" t="n">
        <v>13</v>
      </c>
      <c r="M130" s="4" t="b">
        <v>0</v>
      </c>
      <c r="N130" s="3" t="n">
        <v>5</v>
      </c>
      <c r="O130" s="1" t="n"/>
      <c r="P130" s="1" t="n"/>
      <c r="Q130" s="1" t="n"/>
      <c r="R130" s="1" t="n"/>
      <c r="S130" s="1" t="inlineStr">
        <is>
          <t>Mobile (travels with robot)</t>
        </is>
      </c>
      <c r="T130" s="2" t="inlineStr">
        <is>
          <t>Also stocked in: Tool Spares / Sander EBOM. Kept separate on purpose - one per box.</t>
        </is>
      </c>
      <c r="U130" s="3" t="n">
        <v>454</v>
      </c>
      <c r="V130" s="1">
        <f>IF($K130="To be purchased",COUNTIF($K$2:$K130,"To be purchased"),"")</f>
        <v/>
      </c>
    </row>
    <row r="131">
      <c r="A131" s="1" t="inlineStr">
        <is>
          <t>Diagnostic &amp; repair tools</t>
        </is>
      </c>
      <c r="B131" s="2" t="inlineStr">
        <is>
          <t>Cable - HDMI</t>
        </is>
      </c>
      <c r="C131" s="2" t="inlineStr">
        <is>
          <t>13-C Cables - Ethernet &amp; Data</t>
        </is>
      </c>
      <c r="D131" s="1" t="inlineStr">
        <is>
          <t>Badri</t>
        </is>
      </c>
      <c r="E131" s="1" t="inlineStr">
        <is>
          <t>2</t>
        </is>
      </c>
      <c r="F131" s="1" t="inlineStr">
        <is>
          <t>India</t>
        </is>
      </c>
      <c r="G131" s="1" t="n"/>
      <c r="H131" s="1" t="inlineStr">
        <is>
          <t>No</t>
        </is>
      </c>
      <c r="I131" s="1" t="n"/>
      <c r="J131" s="1" t="n"/>
      <c r="K131" s="1" t="inlineStr">
        <is>
          <t>PR Raised</t>
        </is>
      </c>
      <c r="L131" s="3" t="n">
        <v>13</v>
      </c>
      <c r="M131" s="4" t="b">
        <v>0</v>
      </c>
      <c r="N131" s="3" t="n">
        <v>5</v>
      </c>
      <c r="O131" s="1" t="n"/>
      <c r="P131" s="1" t="n"/>
      <c r="Q131" s="1" t="inlineStr">
        <is>
          <t>https://www.amazon.in/Honeywell-Ethernet-Supports-Definition-3M/dp/B08HRGRCGL/ref=sr_1_4_in_f3_0o_at_mod_primary_alm?crid=258NJ59XGVRH7&amp;dib=eyJ2IjoiMSJ9.Dx1pISIR2WKOhD_F2sjBRyTqU7kEzfg6hwZkOSOjVSKyOGDv4jb2_xb_JwQesG818tuulK3TCnzpy-5qqtx7082cftwbrJUWqNmSsiypgck_Py9gFImuxf0vwe7S-wRbXmxygBrIs0xQbdU8iD-mRe_bpW8sqw4Jox9XcZFklZQNO_kz0FeX6USmxo4Dy2VW6QbDSFm1Mi7YHfeFfjo8brnsmgTw2PRv4JgDnvyXC-A.9kvTLmHXTc-vb4gpKc1Qj28bSSjp8ZBZ2XAEJ0ccFhU&amp;dib_tag=se&amp;keywords=HDMI%2Bcable%2B3m&amp;qid=1786959246&amp;sbo=m6DjfpMzMLDmL8pSMKX8hw%3D%3D&amp;sprefix=hdmi%2Bcable%2B4%2Caps%2C394&amp;sr=8-4&amp;th=1</t>
        </is>
      </c>
      <c r="R131" s="1" t="n"/>
      <c r="S131" s="1" t="n"/>
      <c r="T131" s="2" t="inlineStr">
        <is>
          <t>Detail: For UR / Planner Orin.</t>
        </is>
      </c>
      <c r="U131" s="3" t="n">
        <v>548</v>
      </c>
      <c r="V131" s="1">
        <f>IF($K131="To be purchased",COUNTIF($K$2:$K131,"To be purchased"),"")</f>
        <v/>
      </c>
    </row>
    <row r="132">
      <c r="A132" s="1" t="inlineStr">
        <is>
          <t>Diagnostic &amp; repair tools</t>
        </is>
      </c>
      <c r="B132" s="2" t="inlineStr">
        <is>
          <t>Cable - DB9 to RJ45</t>
        </is>
      </c>
      <c r="C132" s="2" t="inlineStr">
        <is>
          <t>13-C Cables - Ethernet &amp; Data</t>
        </is>
      </c>
      <c r="D132" s="1" t="inlineStr">
        <is>
          <t>Badri</t>
        </is>
      </c>
      <c r="E132" s="1" t="inlineStr">
        <is>
          <t>4</t>
        </is>
      </c>
      <c r="F132" s="1" t="inlineStr">
        <is>
          <t>India</t>
        </is>
      </c>
      <c r="G132" s="1" t="n"/>
      <c r="H132" s="1" t="inlineStr">
        <is>
          <t>No</t>
        </is>
      </c>
      <c r="I132" s="1" t="n"/>
      <c r="J132" s="1" t="n"/>
      <c r="K132" s="1" t="inlineStr">
        <is>
          <t>PR Raised</t>
        </is>
      </c>
      <c r="L132" s="3" t="n">
        <v>13</v>
      </c>
      <c r="M132" s="4" t="b">
        <v>0</v>
      </c>
      <c r="N132" s="3" t="n">
        <v>5</v>
      </c>
      <c r="O132" s="1" t="n"/>
      <c r="P132" s="1" t="n"/>
      <c r="Q132" s="1" t="inlineStr">
        <is>
          <t>https://www.amazon.in/Cisco-Cable-RJ45-DB9-Serial/dp/B0C1MYRZGH/ref=sr_1_7?crid=2RSIUJNNJG1SV&amp;dib=eyJ2IjoiMSJ9.Zsn1sZDpVKi1bP7JYogJ_3wYldfSChibRCPBqp1NU3W5MB0RMQJ70m9yp8E0501ved8Sz2s2EZsHSPJeobDbwnutj4O82z7SqdP7VfHgFNBLOdZes7XPBIFoNNVQnfXgxR-H5ybLkG3rhmlj1fOy8_wBHP0dWTa1V6S3zsvsvbNx_-zLnDf3bs8quCES6rpekEoD9BZg-L2pWNRGCd6snyc4jZ-Doto5D0qY40efido.09u7jGEODo8DmMlLu7oGYugN-tG2kVvq7p6KfUoZvmA&amp;dib_tag=se&amp;keywords=DB9%2Bto%2BRJ45&amp;qid=1786959531&amp;sprefix=db9%2Bto%2Brj45%2Caps%2C306&amp;sr=8-7&amp;th=1</t>
        </is>
      </c>
      <c r="R132" s="1" t="n"/>
      <c r="S132" s="1" t="n"/>
      <c r="T132" s="2" t="inlineStr">
        <is>
          <t>Detail: For the USB-RS232 converter.</t>
        </is>
      </c>
      <c r="U132" s="3" t="n">
        <v>551</v>
      </c>
      <c r="V132" s="1">
        <f>IF($K132="To be purchased",COUNTIF($K$2:$K132,"To be purchased"),"")</f>
        <v/>
      </c>
    </row>
    <row r="133">
      <c r="A133" s="1" t="inlineStr">
        <is>
          <t>Diagnostic &amp; repair tools</t>
        </is>
      </c>
      <c r="B133" s="2" t="inlineStr">
        <is>
          <t>Cable - USB Type A to Type B</t>
        </is>
      </c>
      <c r="C133" s="2" t="inlineStr">
        <is>
          <t>13-C Cables - Ethernet &amp; Data</t>
        </is>
      </c>
      <c r="D133" s="1" t="inlineStr">
        <is>
          <t>Badri</t>
        </is>
      </c>
      <c r="E133" s="1" t="inlineStr">
        <is>
          <t>2</t>
        </is>
      </c>
      <c r="F133" s="1" t="inlineStr">
        <is>
          <t>India</t>
        </is>
      </c>
      <c r="G133" s="1" t="n"/>
      <c r="H133" s="1" t="inlineStr">
        <is>
          <t>No</t>
        </is>
      </c>
      <c r="I133" s="1" t="n"/>
      <c r="J133" s="1" t="n"/>
      <c r="K133" s="1" t="inlineStr">
        <is>
          <t>PR Raised</t>
        </is>
      </c>
      <c r="L133" s="3" t="n">
        <v>13</v>
      </c>
      <c r="M133" s="4" t="b">
        <v>0</v>
      </c>
      <c r="N133" s="3" t="n">
        <v>5</v>
      </c>
      <c r="O133" s="1" t="n"/>
      <c r="P133" s="1" t="n"/>
      <c r="Q133" s="1" t="inlineStr">
        <is>
          <t>https://www.amazon.in/Zebronics-High-Speed-Transfer-Nickel-Plated-Connectors/dp/B0CGDBR125/ref=sr_1_3?crid=38BVA14P20OTQ&amp;dib=eyJ2IjoiMSJ9.Q7a0Lg1_qnymD-hcHFMYH60xJg-9INM5DmvOXUajl2Ld_CMtn3bdTq46svg7f32VmB7iBLPuxAMJ8C7FjXBvZLchQQLfrZBC0Wjk1zYv8PSiJZ66wuNcWliwVgzpgBab7pMax-Zrei-BydVh95oUaikaiTTxbnIdR2f3WU7IlzMsCUWOg7R_7p02PyqVclh9h-bVXRdMcvJ5Y2lrJCul2rwA-sgfpVSIf6uVyFiaZP4.GCZ_o1RWKrsmjJwj2T49I9ZDk7nlCv6sGqNejv6eKi8&amp;dib_tag=se&amp;keywords=USB%2Btype%2BA%2Bto%2Btype%2BB&amp;qid=1786959668&amp;sprefix=usb%2Btype%2Ba%2Bto%2Btype%2B%2Caps%2C310&amp;sr=8-3&amp;th=1</t>
        </is>
      </c>
      <c r="R133" s="1" t="n"/>
      <c r="S133" s="1" t="n"/>
      <c r="T133" s="2" t="inlineStr">
        <is>
          <t>Detail: For USB-CAN or USB-RS232 converters.</t>
        </is>
      </c>
      <c r="U133" s="3" t="n">
        <v>552</v>
      </c>
      <c r="V133" s="1">
        <f>IF($K133="To be purchased",COUNTIF($K$2:$K133,"To be purchased"),"")</f>
        <v/>
      </c>
    </row>
    <row r="134">
      <c r="A134" s="1" t="inlineStr">
        <is>
          <t>Diagnostic &amp; repair tools</t>
        </is>
      </c>
      <c r="B134" s="2" t="inlineStr">
        <is>
          <t>.</t>
        </is>
      </c>
      <c r="C134" s="2" t="inlineStr">
        <is>
          <t>13-C Cables - Ethernet &amp; Data</t>
        </is>
      </c>
      <c r="D134" s="1" t="inlineStr">
        <is>
          <t>Aravind</t>
        </is>
      </c>
      <c r="E134" s="1" t="inlineStr">
        <is>
          <t>2</t>
        </is>
      </c>
      <c r="F134" s="1" t="inlineStr">
        <is>
          <t>India</t>
        </is>
      </c>
      <c r="G134" s="1" t="n"/>
      <c r="H134" s="1" t="inlineStr">
        <is>
          <t>No</t>
        </is>
      </c>
      <c r="I134" s="1" t="n"/>
      <c r="J134" s="1" t="n"/>
      <c r="K134" s="1" t="inlineStr">
        <is>
          <t>To be Prepared</t>
        </is>
      </c>
      <c r="L134" s="3" t="n">
        <v>13</v>
      </c>
      <c r="M134" s="4" t="b">
        <v>0</v>
      </c>
      <c r="N134" s="3" t="n">
        <v>5</v>
      </c>
      <c r="O134" s="1" t="n"/>
      <c r="P134" s="1" t="n"/>
      <c r="Q134" s="1" t="n"/>
      <c r="R134" s="1" t="n"/>
      <c r="S134" s="1" t="n"/>
      <c r="T134" s="2" t="inlineStr">
        <is>
          <t>Detail: For the USB-CAN converter.</t>
        </is>
      </c>
      <c r="U134" s="3" t="n">
        <v>553</v>
      </c>
      <c r="V134" s="1">
        <f>IF($K134="To be purchased",COUNTIF($K$2:$K134,"To be purchased"),"")</f>
        <v/>
      </c>
    </row>
    <row r="135">
      <c r="A135" s="1" t="inlineStr">
        <is>
          <t>Diagnostic &amp; repair tools</t>
        </is>
      </c>
      <c r="B135" s="2" t="inlineStr">
        <is>
          <t>Cable - Ethernet Cat 6, 3 m</t>
        </is>
      </c>
      <c r="C135" s="2" t="inlineStr">
        <is>
          <t>13-C Cables - Ethernet &amp; Data</t>
        </is>
      </c>
      <c r="D135" s="1" t="inlineStr">
        <is>
          <t>Badri</t>
        </is>
      </c>
      <c r="E135" s="1" t="inlineStr">
        <is>
          <t>2</t>
        </is>
      </c>
      <c r="F135" s="1" t="inlineStr">
        <is>
          <t>India</t>
        </is>
      </c>
      <c r="G135" s="1" t="n"/>
      <c r="H135" s="1" t="inlineStr">
        <is>
          <t>No</t>
        </is>
      </c>
      <c r="I135" s="1" t="n"/>
      <c r="J135" s="1" t="n"/>
      <c r="K135" s="1" t="inlineStr">
        <is>
          <t>PR Raised</t>
        </is>
      </c>
      <c r="L135" s="3" t="n">
        <v>13</v>
      </c>
      <c r="M135" s="4" t="b">
        <v>0</v>
      </c>
      <c r="N135" s="3" t="n">
        <v>5</v>
      </c>
      <c r="O135" s="1" t="n"/>
      <c r="P135" s="1" t="n"/>
      <c r="Q135" s="1" t="inlineStr">
        <is>
          <t>https://www.amazon.in/FEDUS-ethernet-Internet-Computer-Category/dp/B08CSKRT23/ref=sr_1_3?crid=2UOYR1JZM18S1&amp;dib=eyJ2IjoiMSJ9.sa-3MFjaOSXi8ao1lXF8z16bYHq-ecbHV9dgV_kzHY8_NPQxd9HCW1OnmWwOI80SvhBp5QG8YAFsgk1ip1t9xqW2C155M_ZqtIwHsEB2m3EaypcOwwE8lB8s-Mb4tptfVcrsfhS6lLnsFShA8GX_HZGwvKn0qb8A-0vEEBn1GiRP55UxU7GGUP8DiI3l-hUgWZqAisg8JXQ4sT94ZVnd0V9dPQXjlGFPp6yZ6tmoI30.UgYaNpXbgFzH1zMK42jSY7v6dYgfPny6BdAVqjD5_50&amp;dib_tag=se&amp;keywords=Ethernet+cable+3m&amp;qid=1786959783&amp;sprefix=ethernet+cable+%2Caps%2C325&amp;sr=8-3</t>
        </is>
      </c>
      <c r="R135" s="1" t="n"/>
      <c r="S135" s="1" t="n"/>
      <c r="T135" s="2" t="inlineStr">
        <is>
          <t>Detail: For general debugging.</t>
        </is>
      </c>
      <c r="U135" s="3" t="n">
        <v>554</v>
      </c>
      <c r="V135" s="1">
        <f>IF($K135="To be purchased",COUNTIF($K$2:$K135,"To be purchased"),"")</f>
        <v/>
      </c>
    </row>
    <row r="136">
      <c r="A136" s="1" t="inlineStr">
        <is>
          <t>Diagnostic &amp; repair tools</t>
        </is>
      </c>
      <c r="B136" s="2" t="inlineStr">
        <is>
          <t>Cable - HDMI to DisplayPort</t>
        </is>
      </c>
      <c r="C136" s="2" t="inlineStr">
        <is>
          <t>13-C Cables - Ethernet &amp; Data</t>
        </is>
      </c>
      <c r="D136" s="1" t="inlineStr">
        <is>
          <t>Badri</t>
        </is>
      </c>
      <c r="E136" s="1" t="inlineStr">
        <is>
          <t>1</t>
        </is>
      </c>
      <c r="F136" s="1" t="inlineStr">
        <is>
          <t>India</t>
        </is>
      </c>
      <c r="G136" s="1" t="n"/>
      <c r="H136" s="1" t="inlineStr">
        <is>
          <t>No</t>
        </is>
      </c>
      <c r="I136" s="1" t="n"/>
      <c r="J136" s="1" t="n"/>
      <c r="K136" s="1" t="inlineStr">
        <is>
          <t>PR Raised</t>
        </is>
      </c>
      <c r="L136" s="3" t="n">
        <v>13</v>
      </c>
      <c r="M136" s="4" t="b">
        <v>0</v>
      </c>
      <c r="N136" s="3" t="n">
        <v>5</v>
      </c>
      <c r="O136" s="1" t="n"/>
      <c r="P136" s="1" t="n"/>
      <c r="Q136" s="1" t="inlineStr">
        <is>
          <t>https://www.amazon.in/Sounce-DisplayPort-Uni-Directional-Display-Projector/dp/B0CRP7S8GG/ref=sr_1_4_in_f3_0o_at_mod_primary_alm?crid=2KW1C3XAQSR0L&amp;dib=eyJ2IjoiMSJ9.Gvpfi7qk_KSyERhbfZbUoISd-8cRhv1Y1V6EPvMn1IkDjroytA7dQf8aYkaQJu4jXoKuU4nRy6T_U9uD7oYW3_uLuyuDZ6BwIa4cVsnOHwPs4RlEtMaehxQUQPnYwCRinewtvwZRl5MocDELFyXZOLnyZ3vUAAb1YTwe9QdWcAu2MeXVm5HYkwgoauePjrqBqHbic745RrK4fwPvqOIdNABhDFva04xBitokOD0ltUU.563VRqx5MoyA1m1vt4pN97j-FZJ-zgt6hJ38pp5R8Xg&amp;dib_tag=se&amp;keywords=HDMI%2Bto%2BDP%2Bcable&amp;qid=1786961757&amp;sbo=m6DjfpMzMLDmL8pSMKX8hw%3D%3D&amp;sprefix=hdmi%2Bto%2Bdp%2Bcab%2Caps%2C304&amp;sr=8-4&amp;th=1</t>
        </is>
      </c>
      <c r="R136" s="1" t="n"/>
      <c r="S136" s="1" t="n"/>
      <c r="T136" s="2" t="inlineStr">
        <is>
          <t>Detail: For planner Orin.</t>
        </is>
      </c>
      <c r="U136" s="3" t="n">
        <v>562</v>
      </c>
      <c r="V136" s="1">
        <f>IF($K136="To be purchased",COUNTIF($K$2:$K136,"To be purchased"),"")</f>
        <v/>
      </c>
    </row>
    <row r="137">
      <c r="A137" s="1" t="inlineStr">
        <is>
          <t>Diagnostic &amp; repair tools</t>
        </is>
      </c>
      <c r="B137" s="2" t="inlineStr">
        <is>
          <t>Cable - USB Type A to Type C, 2 m</t>
        </is>
      </c>
      <c r="C137" s="2" t="inlineStr">
        <is>
          <t>13-C Cables - Ethernet &amp; Data</t>
        </is>
      </c>
      <c r="D137" s="1" t="inlineStr">
        <is>
          <t>Badri</t>
        </is>
      </c>
      <c r="E137" s="1" t="inlineStr">
        <is>
          <t>2</t>
        </is>
      </c>
      <c r="F137" s="1" t="inlineStr">
        <is>
          <t>India</t>
        </is>
      </c>
      <c r="G137" s="1" t="n"/>
      <c r="H137" s="1" t="inlineStr">
        <is>
          <t>No</t>
        </is>
      </c>
      <c r="I137" s="1" t="n"/>
      <c r="J137" s="1" t="n"/>
      <c r="K137" s="1" t="inlineStr">
        <is>
          <t>PR Raised</t>
        </is>
      </c>
      <c r="L137" s="3" t="n">
        <v>13</v>
      </c>
      <c r="M137" s="4" t="b">
        <v>0</v>
      </c>
      <c r="N137" s="3" t="n">
        <v>5</v>
      </c>
      <c r="O137" s="1" t="n"/>
      <c r="P137" s="1" t="n"/>
      <c r="Q137" s="1" t="inlineStr">
        <is>
          <t>https://www.amazon.in/Portronics-Unbreakable-Charging-Supports-Smartphones/dp/B0CSMKSKQZ/ref=sr_1_3?crid=BK4I9URSRV6U&amp;dib=eyJ2IjoiMSJ9.S3VGE7UnJHWGZlq2PVsX1C25k_Ow7hHfGxl_39_qD45Ehk_hIHmwzRnmQE9yVrnRQ4rvgfOJxEdRjHWGGFgOzpmHDjlHFUk9MXico4VUompT0cEDTOWXeDRK92--YIphbSViK75G1U6J2tD9ZYMuxQYuqq58Fq-YXFFQmK7i8rD8MrPoyfRDXTxoXr0CTqwECII60xWIrJJ-m1wM8n9oAbPE_IYibIT06cgY1xXsH2U.pv76ZE5NdnAHB8AfLSTN2Jkb8_zQl0xERmoyYulGdlc&amp;dib_tag=se&amp;keywords=USB%2Bto%2Btype%2BC%2Bcable%2B2m&amp;qid=1786962104&amp;sprefix=usb%2Bto%2Btype%2Bc%2Bcable%2B2%2Caps%2C489&amp;sr=8-3&amp;th=1</t>
        </is>
      </c>
      <c r="R137" s="1" t="n"/>
      <c r="S137" s="1" t="n"/>
      <c r="T137" s="2" t="inlineStr">
        <is>
          <t>Detail: Lift kit / solid state LiDAR debugging.</t>
        </is>
      </c>
      <c r="U137" s="3" t="n">
        <v>569</v>
      </c>
      <c r="V137" s="1">
        <f>IF($K137="To be purchased",COUNTIF($K$2:$K137,"To be purchased"),"")</f>
        <v/>
      </c>
    </row>
    <row r="138">
      <c r="A138" s="13" t="inlineStr">
        <is>
          <t>Wire, connector, cables &amp; crimps</t>
        </is>
      </c>
      <c r="B138" s="2" t="inlineStr">
        <is>
          <t>Cable - CAN Bus, 2x2x0.22 mm2, Unitronic BUS CAN (2170261)</t>
        </is>
      </c>
      <c r="C138" s="2" t="inlineStr">
        <is>
          <t>13-C Cables - Ethernet &amp; Data</t>
        </is>
      </c>
      <c r="D138" s="1" t="inlineStr">
        <is>
          <t>Badri</t>
        </is>
      </c>
      <c r="E138" s="8" t="n">
        <v>3</v>
      </c>
      <c r="F138" s="1" t="inlineStr">
        <is>
          <t>India</t>
        </is>
      </c>
      <c r="G138" s="1" t="n"/>
      <c r="H138" s="1" t="inlineStr">
        <is>
          <t>No</t>
        </is>
      </c>
      <c r="I138" s="1" t="n"/>
      <c r="J138" s="1" t="n"/>
      <c r="K138" s="1" t="inlineStr">
        <is>
          <t>In stock</t>
        </is>
      </c>
      <c r="L138" s="14" t="n">
        <v>13</v>
      </c>
      <c r="M138" s="4" t="b">
        <v>0</v>
      </c>
      <c r="N138" s="3" t="n">
        <v>5</v>
      </c>
      <c r="O138" s="1" t="n"/>
      <c r="P138" s="1" t="n"/>
      <c r="Q138" s="1" t="n"/>
      <c r="R138" s="1" t="n"/>
      <c r="S138" s="1" t="n"/>
      <c r="T138" s="2" t="inlineStr">
        <is>
          <t>[BOX ASSIGNED: 13 Wire, connector, cables &amp; crimps - was unassigned]</t>
        </is>
      </c>
      <c r="U138" s="3" t="n">
        <v>615</v>
      </c>
      <c r="V138" s="1">
        <f>IF($K138="To be purchased",COUNTIF($K$2:$K138,"To be purchased"),"")</f>
        <v/>
      </c>
    </row>
    <row r="139">
      <c r="A139" s="13" t="inlineStr">
        <is>
          <t>Wire, connector, cables &amp; crimps</t>
        </is>
      </c>
      <c r="B139" s="2" t="inlineStr">
        <is>
          <t>Cable - Ethernet Cat 6A, Unitronic LAN 500 (2170960)</t>
        </is>
      </c>
      <c r="C139" s="2" t="inlineStr">
        <is>
          <t>13-C Cables - Ethernet &amp; Data</t>
        </is>
      </c>
      <c r="D139" s="1" t="inlineStr">
        <is>
          <t>Badri</t>
        </is>
      </c>
      <c r="E139" s="1" t="inlineStr">
        <is>
          <t>5</t>
        </is>
      </c>
      <c r="F139" s="1" t="inlineStr">
        <is>
          <t>India</t>
        </is>
      </c>
      <c r="G139" s="1" t="n"/>
      <c r="H139" s="1" t="inlineStr">
        <is>
          <t>No</t>
        </is>
      </c>
      <c r="I139" s="1" t="n"/>
      <c r="J139" s="1" t="n"/>
      <c r="K139" s="1" t="inlineStr">
        <is>
          <t>In stock</t>
        </is>
      </c>
      <c r="L139" s="14" t="n">
        <v>13</v>
      </c>
      <c r="M139" s="4" t="b">
        <v>0</v>
      </c>
      <c r="N139" s="3" t="n">
        <v>5</v>
      </c>
      <c r="O139" s="1" t="n"/>
      <c r="P139" s="1" t="n"/>
      <c r="Q139" s="1" t="n"/>
      <c r="R139" s="1" t="n"/>
      <c r="S139" s="1" t="n"/>
      <c r="T139" s="2" t="inlineStr">
        <is>
          <t>[BOX ASSIGNED: 13 Wire, connector, cables &amp; crimps - was unassigned]</t>
        </is>
      </c>
      <c r="U139" s="3" t="n">
        <v>616</v>
      </c>
      <c r="V139" s="1">
        <f>IF($K139="To be purchased",COUNTIF($K$2:$K139,"To be purchased"),"")</f>
        <v/>
      </c>
    </row>
    <row r="140">
      <c r="A140" s="1" t="inlineStr">
        <is>
          <t>Wire, connector, cables &amp; crimps</t>
        </is>
      </c>
      <c r="B140" s="2" t="inlineStr">
        <is>
          <t>Cable - Ethernet Cat 6, Etherline P FD  (2170488)</t>
        </is>
      </c>
      <c r="C140" s="2" t="inlineStr">
        <is>
          <t>13-C Cables - Ethernet &amp; Data</t>
        </is>
      </c>
      <c r="D140" s="1" t="inlineStr">
        <is>
          <t>Badri</t>
        </is>
      </c>
      <c r="E140" s="7" t="n">
        <v>20</v>
      </c>
      <c r="F140" s="1" t="inlineStr">
        <is>
          <t>India</t>
        </is>
      </c>
      <c r="G140" s="1" t="n"/>
      <c r="H140" s="1" t="inlineStr">
        <is>
          <t>No</t>
        </is>
      </c>
      <c r="I140" s="1" t="n"/>
      <c r="J140" s="1" t="n"/>
      <c r="K140" s="1" t="inlineStr">
        <is>
          <t>PR Raised</t>
        </is>
      </c>
      <c r="L140" s="3" t="n">
        <v>13</v>
      </c>
      <c r="M140" s="4" t="b">
        <v>0</v>
      </c>
      <c r="N140" s="3" t="n">
        <v>5</v>
      </c>
      <c r="O140" s="1" t="n"/>
      <c r="P140" s="1" t="n"/>
      <c r="Q140" s="1" t="n"/>
      <c r="R140" s="1" t="n"/>
      <c r="S140" s="1" t="n"/>
      <c r="T140" s="2" t="inlineStr">
        <is>
          <t>[BOX ASSIGNED: 13 Wire, connector, cables &amp; crimps - was unassigned]</t>
        </is>
      </c>
      <c r="U140" s="3" t="n">
        <v>617</v>
      </c>
      <c r="V140" s="1">
        <f>IF($K140="To be purchased",COUNTIF($K$2:$K140,"To be purchased"),"")</f>
        <v/>
      </c>
    </row>
    <row r="141">
      <c r="A141" s="1" t="inlineStr">
        <is>
          <t>Wire, connector, cables &amp; crimps</t>
        </is>
      </c>
      <c r="B141" s="2" t="inlineStr">
        <is>
          <t>Connector - JST XA Housing, 2-pin (XAP-02V-1) MoMa &amp; Tool</t>
        </is>
      </c>
      <c r="C141" s="2" t="inlineStr">
        <is>
          <t>13-D Connectors - JST &amp; Headers</t>
        </is>
      </c>
      <c r="D141" s="1" t="inlineStr">
        <is>
          <t>Badri</t>
        </is>
      </c>
      <c r="E141" s="7" t="n">
        <v>50</v>
      </c>
      <c r="F141" s="1" t="inlineStr">
        <is>
          <t>India</t>
        </is>
      </c>
      <c r="G141" s="1" t="n"/>
      <c r="H141" s="1" t="inlineStr">
        <is>
          <t>No</t>
        </is>
      </c>
      <c r="I141" s="1" t="n"/>
      <c r="J141" s="1" t="n"/>
      <c r="K141" s="1" t="inlineStr">
        <is>
          <t>PR Raised</t>
        </is>
      </c>
      <c r="L141" s="3" t="n">
        <v>13</v>
      </c>
      <c r="M141" s="4" t="b">
        <v>0</v>
      </c>
      <c r="N141" s="3" t="n">
        <v>5</v>
      </c>
      <c r="O141" s="1" t="n"/>
      <c r="P141" s="1" t="n"/>
      <c r="Q141" s="1" t="n"/>
      <c r="R141" s="1" t="n"/>
      <c r="S141" s="1" t="inlineStr">
        <is>
          <t>Mobile (travels with robot)</t>
        </is>
      </c>
      <c r="T141" s="1" t="n"/>
      <c r="U141" s="3" t="n">
        <v>159</v>
      </c>
      <c r="V141" s="1">
        <f>IF($K141="To be purchased",COUNTIF($K$2:$K141,"To be purchased"),"")</f>
        <v/>
      </c>
    </row>
    <row r="142">
      <c r="A142" s="1" t="inlineStr">
        <is>
          <t>Wire, connector, cables &amp; crimps</t>
        </is>
      </c>
      <c r="B142" s="2" t="inlineStr">
        <is>
          <t>Connector - JST XA Housing, 3-pin (XAP-03V-1)</t>
        </is>
      </c>
      <c r="C142" s="2" t="inlineStr">
        <is>
          <t>13-D Connectors - JST &amp; Headers</t>
        </is>
      </c>
      <c r="D142" s="1" t="inlineStr">
        <is>
          <t>Badri</t>
        </is>
      </c>
      <c r="E142" s="7" t="inlineStr">
        <is>
          <t>20</t>
        </is>
      </c>
      <c r="F142" s="1" t="inlineStr">
        <is>
          <t>India</t>
        </is>
      </c>
      <c r="G142" s="1" t="n"/>
      <c r="H142" s="1" t="inlineStr">
        <is>
          <t>No</t>
        </is>
      </c>
      <c r="I142" s="1" t="n"/>
      <c r="J142" s="1" t="n"/>
      <c r="K142" s="1" t="inlineStr">
        <is>
          <t>PR Raised</t>
        </is>
      </c>
      <c r="L142" s="3" t="n">
        <v>13</v>
      </c>
      <c r="M142" s="4" t="b">
        <v>0</v>
      </c>
      <c r="N142" s="3" t="n">
        <v>5</v>
      </c>
      <c r="O142" s="1" t="n"/>
      <c r="P142" s="1" t="n"/>
      <c r="Q142" s="1" t="n"/>
      <c r="R142" s="1" t="n"/>
      <c r="S142" s="1" t="inlineStr">
        <is>
          <t>Mobile (travels with robot)</t>
        </is>
      </c>
      <c r="T142" s="1" t="n"/>
      <c r="U142" s="3" t="n">
        <v>160</v>
      </c>
      <c r="V142" s="1">
        <f>IF($K142="To be purchased",COUNTIF($K$2:$K142,"To be purchased"),"")</f>
        <v/>
      </c>
    </row>
    <row r="143">
      <c r="A143" s="1" t="inlineStr">
        <is>
          <t>Wire, connector, cables &amp; crimps</t>
        </is>
      </c>
      <c r="B143" s="2" t="inlineStr">
        <is>
          <t>Connector - JST XA Housing, 4-pin (XAP-04V-1)</t>
        </is>
      </c>
      <c r="C143" s="2" t="inlineStr">
        <is>
          <t>13-D Connectors - JST &amp; Headers</t>
        </is>
      </c>
      <c r="D143" s="1" t="inlineStr">
        <is>
          <t>Badri</t>
        </is>
      </c>
      <c r="E143" s="7" t="inlineStr">
        <is>
          <t>20</t>
        </is>
      </c>
      <c r="F143" s="1" t="inlineStr">
        <is>
          <t>India</t>
        </is>
      </c>
      <c r="G143" s="1" t="n"/>
      <c r="H143" s="1" t="inlineStr">
        <is>
          <t>No</t>
        </is>
      </c>
      <c r="I143" s="1" t="n"/>
      <c r="J143" s="1" t="n"/>
      <c r="K143" s="1" t="inlineStr">
        <is>
          <t>PR Raised</t>
        </is>
      </c>
      <c r="L143" s="3" t="n">
        <v>13</v>
      </c>
      <c r="M143" s="4" t="b">
        <v>0</v>
      </c>
      <c r="N143" s="3" t="n">
        <v>5</v>
      </c>
      <c r="O143" s="1" t="n"/>
      <c r="P143" s="1" t="n"/>
      <c r="Q143" s="1" t="n"/>
      <c r="R143" s="1" t="n"/>
      <c r="S143" s="1" t="inlineStr">
        <is>
          <t>Mobile (travels with robot)</t>
        </is>
      </c>
      <c r="T143" s="1" t="n"/>
      <c r="U143" s="3" t="n">
        <v>161</v>
      </c>
      <c r="V143" s="1">
        <f>IF($K143="To be purchased",COUNTIF($K$2:$K143,"To be purchased"),"")</f>
        <v/>
      </c>
    </row>
    <row r="144">
      <c r="A144" s="1" t="inlineStr">
        <is>
          <t>Wire, connector, cables &amp; crimps</t>
        </is>
      </c>
      <c r="B144" s="2" t="inlineStr">
        <is>
          <t>Connector - JST XA Housing, 5-pin (XAP-05V-1)</t>
        </is>
      </c>
      <c r="C144" s="2" t="inlineStr">
        <is>
          <t>13-D Connectors - JST &amp; Headers</t>
        </is>
      </c>
      <c r="D144" s="1" t="inlineStr">
        <is>
          <t>Badri</t>
        </is>
      </c>
      <c r="E144" s="7" t="inlineStr">
        <is>
          <t>20</t>
        </is>
      </c>
      <c r="F144" s="1" t="inlineStr">
        <is>
          <t>India</t>
        </is>
      </c>
      <c r="G144" s="1" t="n"/>
      <c r="H144" s="1" t="inlineStr">
        <is>
          <t>No</t>
        </is>
      </c>
      <c r="I144" s="1" t="n"/>
      <c r="J144" s="1" t="n"/>
      <c r="K144" s="1" t="inlineStr">
        <is>
          <t>PR Raised</t>
        </is>
      </c>
      <c r="L144" s="3" t="n">
        <v>13</v>
      </c>
      <c r="M144" s="4" t="b">
        <v>0</v>
      </c>
      <c r="N144" s="3" t="n">
        <v>5</v>
      </c>
      <c r="O144" s="1" t="n"/>
      <c r="P144" s="1" t="n"/>
      <c r="Q144" s="1" t="n"/>
      <c r="R144" s="1" t="n"/>
      <c r="S144" s="1" t="inlineStr">
        <is>
          <t>Mobile (travels with robot)</t>
        </is>
      </c>
      <c r="T144" s="1" t="n"/>
      <c r="U144" s="3" t="n">
        <v>162</v>
      </c>
      <c r="V144" s="1">
        <f>IF($K144="To be purchased",COUNTIF($K$2:$K144,"To be purchased"),"")</f>
        <v/>
      </c>
    </row>
    <row r="145">
      <c r="A145" s="1" t="inlineStr">
        <is>
          <t>Wire, connector, cables &amp; crimps</t>
        </is>
      </c>
      <c r="B145" s="2" t="inlineStr">
        <is>
          <t>Connector - JST XA Housing, 6-pin (XAP-06V-1)</t>
        </is>
      </c>
      <c r="C145" s="2" t="inlineStr">
        <is>
          <t>13-D Connectors - JST &amp; Headers</t>
        </is>
      </c>
      <c r="D145" s="1" t="inlineStr">
        <is>
          <t>Badri</t>
        </is>
      </c>
      <c r="E145" s="7" t="inlineStr">
        <is>
          <t>20</t>
        </is>
      </c>
      <c r="F145" s="1" t="inlineStr">
        <is>
          <t>India</t>
        </is>
      </c>
      <c r="G145" s="1" t="n"/>
      <c r="H145" s="1" t="inlineStr">
        <is>
          <t>No</t>
        </is>
      </c>
      <c r="I145" s="1" t="n"/>
      <c r="J145" s="1" t="n"/>
      <c r="K145" s="1" t="inlineStr">
        <is>
          <t>PR Raised</t>
        </is>
      </c>
      <c r="L145" s="3" t="n">
        <v>13</v>
      </c>
      <c r="M145" s="4" t="b">
        <v>0</v>
      </c>
      <c r="N145" s="3" t="n">
        <v>5</v>
      </c>
      <c r="O145" s="1" t="n"/>
      <c r="P145" s="1" t="n"/>
      <c r="Q145" s="1" t="n"/>
      <c r="R145" s="1" t="n"/>
      <c r="S145" s="1" t="inlineStr">
        <is>
          <t>Mobile (travels with robot)</t>
        </is>
      </c>
      <c r="T145" s="1" t="n"/>
      <c r="U145" s="3" t="n">
        <v>163</v>
      </c>
      <c r="V145" s="1">
        <f>IF($K145="To be purchased",COUNTIF($K$2:$K145,"To be purchased"),"")</f>
        <v/>
      </c>
    </row>
    <row r="146">
      <c r="A146" s="1" t="inlineStr">
        <is>
          <t>Wire, connector, cables &amp; crimps</t>
        </is>
      </c>
      <c r="B146" s="2" t="inlineStr">
        <is>
          <t>Connector - JST XA Housing, 7-pin (XAP-07V-1)</t>
        </is>
      </c>
      <c r="C146" s="2" t="inlineStr">
        <is>
          <t>13-D Connectors - JST &amp; Headers</t>
        </is>
      </c>
      <c r="D146" s="1" t="inlineStr">
        <is>
          <t>Badri</t>
        </is>
      </c>
      <c r="E146" s="7" t="inlineStr">
        <is>
          <t>20</t>
        </is>
      </c>
      <c r="F146" s="1" t="inlineStr">
        <is>
          <t>India</t>
        </is>
      </c>
      <c r="G146" s="1" t="n"/>
      <c r="H146" s="1" t="inlineStr">
        <is>
          <t>No</t>
        </is>
      </c>
      <c r="I146" s="1" t="n"/>
      <c r="J146" s="1" t="n"/>
      <c r="K146" s="1" t="inlineStr">
        <is>
          <t>PR Raised</t>
        </is>
      </c>
      <c r="L146" s="3" t="n">
        <v>13</v>
      </c>
      <c r="M146" s="4" t="b">
        <v>0</v>
      </c>
      <c r="N146" s="3" t="n">
        <v>5</v>
      </c>
      <c r="O146" s="1" t="n"/>
      <c r="P146" s="1" t="n"/>
      <c r="Q146" s="1" t="n"/>
      <c r="R146" s="1" t="n"/>
      <c r="S146" s="1" t="inlineStr">
        <is>
          <t>Mobile (travels with robot)</t>
        </is>
      </c>
      <c r="T146" s="1" t="n"/>
      <c r="U146" s="3" t="n">
        <v>164</v>
      </c>
      <c r="V146" s="1">
        <f>IF($K146="To be purchased",COUNTIF($K$2:$K146,"To be purchased"),"")</f>
        <v/>
      </c>
    </row>
    <row r="147">
      <c r="A147" s="1" t="inlineStr">
        <is>
          <t>Wire, connector, cables &amp; crimps</t>
        </is>
      </c>
      <c r="B147" s="2" t="inlineStr">
        <is>
          <t>Connector - JST XA Housing, 8-pin (XAP-08V-1)</t>
        </is>
      </c>
      <c r="C147" s="2" t="inlineStr">
        <is>
          <t>13-D Connectors - JST &amp; Headers</t>
        </is>
      </c>
      <c r="D147" s="1" t="inlineStr">
        <is>
          <t>Badri</t>
        </is>
      </c>
      <c r="E147" s="7" t="inlineStr">
        <is>
          <t>20</t>
        </is>
      </c>
      <c r="F147" s="1" t="inlineStr">
        <is>
          <t>India</t>
        </is>
      </c>
      <c r="G147" s="1" t="n"/>
      <c r="H147" s="1" t="inlineStr">
        <is>
          <t>No</t>
        </is>
      </c>
      <c r="I147" s="1" t="n"/>
      <c r="J147" s="1" t="n"/>
      <c r="K147" s="1" t="inlineStr">
        <is>
          <t>PR Raised</t>
        </is>
      </c>
      <c r="L147" s="3" t="n">
        <v>13</v>
      </c>
      <c r="M147" s="4" t="b">
        <v>0</v>
      </c>
      <c r="N147" s="3" t="n">
        <v>5</v>
      </c>
      <c r="O147" s="1" t="n"/>
      <c r="P147" s="1" t="n"/>
      <c r="Q147" s="1" t="n"/>
      <c r="R147" s="1" t="n"/>
      <c r="S147" s="1" t="inlineStr">
        <is>
          <t>Mobile (travels with robot)</t>
        </is>
      </c>
      <c r="T147" s="1" t="n"/>
      <c r="U147" s="3" t="n">
        <v>165</v>
      </c>
      <c r="V147" s="1">
        <f>IF($K147="To be purchased",COUNTIF($K$2:$K147,"To be purchased"),"")</f>
        <v/>
      </c>
    </row>
    <row r="148">
      <c r="A148" s="1" t="inlineStr">
        <is>
          <t>Wire, connector, cables &amp; crimps</t>
        </is>
      </c>
      <c r="B148" s="2" t="inlineStr">
        <is>
          <t>Connector - JST XA Housing, 9-pin (XAP-09V-1)</t>
        </is>
      </c>
      <c r="C148" s="2" t="inlineStr">
        <is>
          <t>13-D Connectors - JST &amp; Headers</t>
        </is>
      </c>
      <c r="D148" s="1" t="inlineStr">
        <is>
          <t>Badri</t>
        </is>
      </c>
      <c r="E148" s="7" t="inlineStr">
        <is>
          <t>20</t>
        </is>
      </c>
      <c r="F148" s="1" t="inlineStr">
        <is>
          <t>India</t>
        </is>
      </c>
      <c r="G148" s="1" t="n"/>
      <c r="H148" s="1" t="inlineStr">
        <is>
          <t>No</t>
        </is>
      </c>
      <c r="I148" s="1" t="n"/>
      <c r="J148" s="1" t="n"/>
      <c r="K148" s="1" t="inlineStr">
        <is>
          <t>PR Raised</t>
        </is>
      </c>
      <c r="L148" s="3" t="n">
        <v>13</v>
      </c>
      <c r="M148" s="4" t="b">
        <v>0</v>
      </c>
      <c r="N148" s="3" t="n">
        <v>5</v>
      </c>
      <c r="O148" s="1" t="n"/>
      <c r="P148" s="1" t="n"/>
      <c r="Q148" s="1" t="n"/>
      <c r="R148" s="1" t="n"/>
      <c r="S148" s="1" t="inlineStr">
        <is>
          <t>Mobile (travels with robot)</t>
        </is>
      </c>
      <c r="T148" s="1" t="n"/>
      <c r="U148" s="3" t="n">
        <v>166</v>
      </c>
      <c r="V148" s="1">
        <f>IF($K148="To be purchased",COUNTIF($K$2:$K148,"To be purchased"),"")</f>
        <v/>
      </c>
    </row>
    <row r="149">
      <c r="A149" s="1" t="inlineStr">
        <is>
          <t>Wire, connector, cables &amp; crimps</t>
        </is>
      </c>
      <c r="B149" s="2" t="inlineStr">
        <is>
          <t>Connector - JST XA Housing, 10-pin (XAP-10V-1)</t>
        </is>
      </c>
      <c r="C149" s="2" t="inlineStr">
        <is>
          <t>13-D Connectors - JST &amp; Headers</t>
        </is>
      </c>
      <c r="D149" s="1" t="inlineStr">
        <is>
          <t>Badri</t>
        </is>
      </c>
      <c r="E149" s="7" t="inlineStr">
        <is>
          <t>20</t>
        </is>
      </c>
      <c r="F149" s="1" t="inlineStr">
        <is>
          <t>India</t>
        </is>
      </c>
      <c r="G149" s="1" t="n"/>
      <c r="H149" s="1" t="inlineStr">
        <is>
          <t>No</t>
        </is>
      </c>
      <c r="I149" s="1" t="n"/>
      <c r="J149" s="1" t="n"/>
      <c r="K149" s="1" t="inlineStr">
        <is>
          <t>PR Raised</t>
        </is>
      </c>
      <c r="L149" s="3" t="n">
        <v>13</v>
      </c>
      <c r="M149" s="4" t="b">
        <v>0</v>
      </c>
      <c r="N149" s="3" t="n">
        <v>5</v>
      </c>
      <c r="O149" s="1" t="n"/>
      <c r="P149" s="1" t="n"/>
      <c r="Q149" s="1" t="n"/>
      <c r="R149" s="1" t="n"/>
      <c r="S149" s="1" t="inlineStr">
        <is>
          <t>Mobile (travels with robot)</t>
        </is>
      </c>
      <c r="T149" s="1" t="n"/>
      <c r="U149" s="3" t="n">
        <v>167</v>
      </c>
      <c r="V149" s="1">
        <f>IF($K149="To be purchased",COUNTIF($K$2:$K149,"To be purchased"),"")</f>
        <v/>
      </c>
    </row>
    <row r="150">
      <c r="A150" s="1" t="inlineStr">
        <is>
          <t>Wire, connector, cables &amp; crimps</t>
        </is>
      </c>
      <c r="B150" s="2" t="inlineStr">
        <is>
          <t>Crimp - JST XA Female (SXA-001T-P0.6)</t>
        </is>
      </c>
      <c r="C150" s="2" t="inlineStr">
        <is>
          <t>13-I Crimps, Ferrules &amp; Lugs</t>
        </is>
      </c>
      <c r="D150" s="1" t="inlineStr">
        <is>
          <t>Badri</t>
        </is>
      </c>
      <c r="E150" s="7" t="n">
        <v>200</v>
      </c>
      <c r="F150" s="1" t="inlineStr">
        <is>
          <t>India</t>
        </is>
      </c>
      <c r="G150" s="1" t="n"/>
      <c r="H150" s="1" t="inlineStr">
        <is>
          <t>No</t>
        </is>
      </c>
      <c r="I150" s="1" t="n"/>
      <c r="J150" s="1" t="n"/>
      <c r="K150" s="1" t="inlineStr">
        <is>
          <t>PR Raised</t>
        </is>
      </c>
      <c r="L150" s="3" t="n">
        <v>13</v>
      </c>
      <c r="M150" s="4" t="b">
        <v>0</v>
      </c>
      <c r="N150" s="3" t="n">
        <v>5</v>
      </c>
      <c r="O150" s="1" t="n"/>
      <c r="P150" s="1" t="n"/>
      <c r="Q150" s="1" t="n"/>
      <c r="R150" s="1" t="n"/>
      <c r="S150" s="1" t="n"/>
      <c r="T150" s="1" t="n"/>
      <c r="U150" s="3" t="n">
        <v>168</v>
      </c>
      <c r="V150" s="1">
        <f>IF($K150="To be purchased",COUNTIF($K$2:$K181,"To be purchased"),"")</f>
        <v/>
      </c>
    </row>
    <row r="151">
      <c r="A151" s="1" t="inlineStr">
        <is>
          <t>Wire, connector, cables &amp; crimps</t>
        </is>
      </c>
      <c r="B151" s="2" t="inlineStr">
        <is>
          <t>Jumper Cap - 2.54 mm, 2-pin</t>
        </is>
      </c>
      <c r="C151" s="2" t="inlineStr">
        <is>
          <t>13-D Connectors - JST &amp; Headers</t>
        </is>
      </c>
      <c r="D151" s="1" t="inlineStr">
        <is>
          <t>Badri</t>
        </is>
      </c>
      <c r="E151" s="7" t="inlineStr">
        <is>
          <t>10</t>
        </is>
      </c>
      <c r="F151" s="1" t="inlineStr">
        <is>
          <t>India</t>
        </is>
      </c>
      <c r="G151" s="1" t="n"/>
      <c r="H151" s="1" t="inlineStr">
        <is>
          <t>No</t>
        </is>
      </c>
      <c r="I151" s="1" t="n"/>
      <c r="J151" s="1" t="n"/>
      <c r="K151" s="1" t="inlineStr">
        <is>
          <t>PR Raised</t>
        </is>
      </c>
      <c r="L151" s="3" t="n">
        <v>13</v>
      </c>
      <c r="M151" s="4" t="b">
        <v>0</v>
      </c>
      <c r="N151" s="3" t="n">
        <v>5</v>
      </c>
      <c r="O151" s="1" t="n"/>
      <c r="P151" s="1" t="n"/>
      <c r="Q151" s="1" t="n"/>
      <c r="R151" s="1" t="n"/>
      <c r="S151" s="1" t="inlineStr">
        <is>
          <t>Mobile (travels with robot)</t>
        </is>
      </c>
      <c r="T151" s="1" t="n"/>
      <c r="U151" s="3" t="n">
        <v>200</v>
      </c>
      <c r="V151" s="1">
        <f>IF($K151="To be purchased",COUNTIF($K$2:$K151,"To be purchased"),"")</f>
        <v/>
      </c>
    </row>
    <row r="152">
      <c r="A152" s="1" t="inlineStr">
        <is>
          <t>Wire, connector, cables &amp; crimps</t>
        </is>
      </c>
      <c r="B152" s="2" t="inlineStr">
        <is>
          <t>Connector - JST SM Housing, 2-pin Male</t>
        </is>
      </c>
      <c r="C152" s="2" t="inlineStr">
        <is>
          <t>13-D Connectors - JST &amp; Headers</t>
        </is>
      </c>
      <c r="D152" s="1" t="inlineStr">
        <is>
          <t>Badri</t>
        </is>
      </c>
      <c r="E152" s="7" t="inlineStr">
        <is>
          <t>10</t>
        </is>
      </c>
      <c r="F152" s="1" t="inlineStr">
        <is>
          <t>India</t>
        </is>
      </c>
      <c r="G152" s="1" t="n"/>
      <c r="H152" s="1" t="inlineStr">
        <is>
          <t>No</t>
        </is>
      </c>
      <c r="I152" s="1" t="n"/>
      <c r="J152" s="1" t="n"/>
      <c r="K152" s="1" t="inlineStr">
        <is>
          <t>PR Raised</t>
        </is>
      </c>
      <c r="L152" s="3" t="n">
        <v>13</v>
      </c>
      <c r="M152" s="4" t="b">
        <v>0</v>
      </c>
      <c r="N152" s="3" t="n">
        <v>5</v>
      </c>
      <c r="O152" s="1" t="n"/>
      <c r="P152" s="1" t="n"/>
      <c r="Q152" s="1" t="n"/>
      <c r="R152" s="1" t="n"/>
      <c r="S152" s="1" t="inlineStr">
        <is>
          <t>Mobile (travels with robot)</t>
        </is>
      </c>
      <c r="T152" s="1" t="n"/>
      <c r="U152" s="3" t="n">
        <v>201</v>
      </c>
      <c r="V152" s="1">
        <f>IF($K152="To be purchased",COUNTIF($K$2:$K152,"To be purchased"),"")</f>
        <v/>
      </c>
    </row>
    <row r="153">
      <c r="A153" s="1" t="inlineStr">
        <is>
          <t>Wire, connector, cables &amp; crimps</t>
        </is>
      </c>
      <c r="B153" s="2" t="inlineStr">
        <is>
          <t>Connector - JST SM Housing, 2-pin Female</t>
        </is>
      </c>
      <c r="C153" s="2" t="inlineStr">
        <is>
          <t>13-D Connectors - JST &amp; Headers</t>
        </is>
      </c>
      <c r="D153" s="1" t="inlineStr">
        <is>
          <t>Badri</t>
        </is>
      </c>
      <c r="E153" s="7" t="inlineStr">
        <is>
          <t>10</t>
        </is>
      </c>
      <c r="F153" s="1" t="inlineStr">
        <is>
          <t>India</t>
        </is>
      </c>
      <c r="G153" s="1" t="n"/>
      <c r="H153" s="1" t="inlineStr">
        <is>
          <t>No</t>
        </is>
      </c>
      <c r="I153" s="1" t="n"/>
      <c r="J153" s="1" t="n"/>
      <c r="K153" s="1" t="inlineStr">
        <is>
          <t>PR Raised</t>
        </is>
      </c>
      <c r="L153" s="3" t="n">
        <v>13</v>
      </c>
      <c r="M153" s="4" t="b">
        <v>0</v>
      </c>
      <c r="N153" s="3" t="n">
        <v>5</v>
      </c>
      <c r="O153" s="1" t="n"/>
      <c r="P153" s="1" t="n"/>
      <c r="Q153" s="1" t="n"/>
      <c r="R153" s="1" t="n"/>
      <c r="S153" s="1" t="inlineStr">
        <is>
          <t>Mobile (travels with robot)</t>
        </is>
      </c>
      <c r="T153" s="1" t="n"/>
      <c r="U153" s="3" t="n">
        <v>202</v>
      </c>
      <c r="V153" s="1">
        <f>IF($K153="To be purchased",COUNTIF($K$2:$K153,"To be purchased"),"")</f>
        <v/>
      </c>
    </row>
    <row r="154">
      <c r="A154" s="1" t="inlineStr">
        <is>
          <t>Wire, connector, cables &amp; crimps</t>
        </is>
      </c>
      <c r="B154" s="2" t="inlineStr">
        <is>
          <t>Connector - JST SM Housing, 4-pin Male</t>
        </is>
      </c>
      <c r="C154" s="2" t="inlineStr">
        <is>
          <t>13-D Connectors - JST &amp; Headers</t>
        </is>
      </c>
      <c r="D154" s="1" t="inlineStr">
        <is>
          <t>Badri</t>
        </is>
      </c>
      <c r="E154" s="1" t="inlineStr">
        <is>
          <t>10</t>
        </is>
      </c>
      <c r="F154" s="1" t="inlineStr">
        <is>
          <t>India</t>
        </is>
      </c>
      <c r="G154" s="1" t="n"/>
      <c r="H154" s="1" t="inlineStr">
        <is>
          <t>No</t>
        </is>
      </c>
      <c r="I154" s="1" t="n"/>
      <c r="J154" s="1" t="n"/>
      <c r="K154" s="1" t="inlineStr">
        <is>
          <t>IQC Stage</t>
        </is>
      </c>
      <c r="L154" s="3" t="n">
        <v>13</v>
      </c>
      <c r="M154" s="4" t="b">
        <v>0</v>
      </c>
      <c r="N154" s="3" t="n">
        <v>5</v>
      </c>
      <c r="O154" s="1" t="n"/>
      <c r="P154" s="1" t="n"/>
      <c r="Q154" s="1" t="n"/>
      <c r="R154" s="1" t="n"/>
      <c r="S154" s="1" t="inlineStr">
        <is>
          <t>Mobile (travels with robot)</t>
        </is>
      </c>
      <c r="T154" s="1" t="n"/>
      <c r="U154" s="3" t="n">
        <v>203</v>
      </c>
      <c r="V154" s="1">
        <f>IF($K154="To be purchased",COUNTIF($K$2:$K154,"To be purchased"),"")</f>
        <v/>
      </c>
    </row>
    <row r="155">
      <c r="A155" s="1" t="inlineStr">
        <is>
          <t>Wire, connector, cables &amp; crimps</t>
        </is>
      </c>
      <c r="B155" s="2" t="inlineStr">
        <is>
          <t>Connector - JST SM Housing, 4-pin Female</t>
        </is>
      </c>
      <c r="C155" s="2" t="inlineStr">
        <is>
          <t>13-D Connectors - JST &amp; Headers</t>
        </is>
      </c>
      <c r="D155" s="1" t="inlineStr">
        <is>
          <t>Badri</t>
        </is>
      </c>
      <c r="E155" s="7" t="inlineStr">
        <is>
          <t>10</t>
        </is>
      </c>
      <c r="F155" s="1" t="inlineStr">
        <is>
          <t>India</t>
        </is>
      </c>
      <c r="G155" s="1" t="n"/>
      <c r="H155" s="1" t="inlineStr">
        <is>
          <t>No</t>
        </is>
      </c>
      <c r="I155" s="1" t="n"/>
      <c r="J155" s="1" t="n"/>
      <c r="K155" s="1" t="inlineStr">
        <is>
          <t>PR Raised</t>
        </is>
      </c>
      <c r="L155" s="3" t="n">
        <v>13</v>
      </c>
      <c r="M155" s="4" t="b">
        <v>0</v>
      </c>
      <c r="N155" s="3" t="n">
        <v>5</v>
      </c>
      <c r="O155" s="1" t="n"/>
      <c r="P155" s="1" t="n"/>
      <c r="Q155" s="1" t="n"/>
      <c r="R155" s="1" t="n"/>
      <c r="S155" s="1" t="inlineStr">
        <is>
          <t>Mobile (travels with robot)</t>
        </is>
      </c>
      <c r="T155" s="1" t="n"/>
      <c r="U155" s="3" t="n">
        <v>204</v>
      </c>
      <c r="V155" s="1">
        <f>IF($K155="To be purchased",COUNTIF($K$2:$K155,"To be purchased"),"")</f>
        <v/>
      </c>
    </row>
    <row r="156">
      <c r="A156" s="1" t="inlineStr">
        <is>
          <t>Wire, connector, cables &amp; crimps</t>
        </is>
      </c>
      <c r="B156" s="2" t="inlineStr">
        <is>
          <t>Connector - JST XH Connector, 4-pin Female, 1.25mm pitch</t>
        </is>
      </c>
      <c r="C156" s="2" t="inlineStr">
        <is>
          <t>13-D Connectors - JST &amp; Headers</t>
        </is>
      </c>
      <c r="D156" s="1" t="inlineStr">
        <is>
          <t>Badri</t>
        </is>
      </c>
      <c r="E156" s="7" t="inlineStr">
        <is>
          <t>10</t>
        </is>
      </c>
      <c r="F156" s="1" t="inlineStr">
        <is>
          <t>India</t>
        </is>
      </c>
      <c r="G156" s="1" t="n"/>
      <c r="H156" s="1" t="inlineStr">
        <is>
          <t>No</t>
        </is>
      </c>
      <c r="I156" s="1" t="n"/>
      <c r="J156" s="1" t="n"/>
      <c r="K156" s="1" t="inlineStr">
        <is>
          <t>PR Raised</t>
        </is>
      </c>
      <c r="L156" s="3" t="n">
        <v>13</v>
      </c>
      <c r="M156" s="4" t="b">
        <v>0</v>
      </c>
      <c r="N156" s="3" t="n">
        <v>5</v>
      </c>
      <c r="O156" s="1" t="n"/>
      <c r="P156" s="1" t="inlineStr">
        <is>
          <t xml:space="preserve">V3 quantity 10 </t>
        </is>
      </c>
      <c r="Q156" s="1" t="n"/>
      <c r="R156" s="1" t="n"/>
      <c r="S156" s="1" t="inlineStr">
        <is>
          <t>Mobile (travels with robot)</t>
        </is>
      </c>
      <c r="T156" s="1" t="n"/>
      <c r="U156" s="3" t="n">
        <v>205</v>
      </c>
      <c r="V156" s="1">
        <f>IF($K156="To be purchased",COUNTIF($K$2:$K156,"To be purchased"),"")</f>
        <v/>
      </c>
    </row>
    <row r="157">
      <c r="A157" s="1" t="inlineStr">
        <is>
          <t>Diagnostic &amp; repair tools</t>
        </is>
      </c>
      <c r="B157" s="2" t="inlineStr">
        <is>
          <t>Jumper Cap - 2.54 mm</t>
        </is>
      </c>
      <c r="C157" s="2" t="inlineStr">
        <is>
          <t>13-D Connectors - JST &amp; Headers</t>
        </is>
      </c>
      <c r="D157" s="1" t="inlineStr">
        <is>
          <t>Aravind</t>
        </is>
      </c>
      <c r="E157" s="1" t="inlineStr">
        <is>
          <t>5</t>
        </is>
      </c>
      <c r="F157" s="1" t="inlineStr">
        <is>
          <t>India</t>
        </is>
      </c>
      <c r="G157" s="1" t="n"/>
      <c r="H157" s="1" t="inlineStr">
        <is>
          <t>No</t>
        </is>
      </c>
      <c r="I157" s="1" t="n"/>
      <c r="J157" s="1" t="n"/>
      <c r="K157" s="1" t="inlineStr">
        <is>
          <t>To be Prepared</t>
        </is>
      </c>
      <c r="L157" s="3" t="n">
        <v>13</v>
      </c>
      <c r="M157" s="4" t="b">
        <v>0</v>
      </c>
      <c r="N157" s="3" t="n">
        <v>5</v>
      </c>
      <c r="O157" s="1" t="n"/>
      <c r="P157" s="1" t="n"/>
      <c r="Q157" s="1" t="n"/>
      <c r="R157" s="1" t="n"/>
      <c r="S157" s="1" t="n"/>
      <c r="T157" s="2" t="inlineStr">
        <is>
          <t>Detail: Inverter CAN termination.</t>
        </is>
      </c>
      <c r="U157" s="3" t="n">
        <v>568</v>
      </c>
      <c r="V157" s="1">
        <f>IF($K157="To be purchased",COUNTIF($K$2:$K157,"To be purchased"),"")</f>
        <v/>
      </c>
    </row>
    <row r="158">
      <c r="A158" s="1" t="inlineStr">
        <is>
          <t>Wire, connector, cables &amp; crimps</t>
        </is>
      </c>
      <c r="B158" s="2" t="inlineStr">
        <is>
          <t>Connector - XT30, Male</t>
        </is>
      </c>
      <c r="C158" s="2" t="inlineStr">
        <is>
          <t>13-E Connectors - Power</t>
        </is>
      </c>
      <c r="D158" s="1" t="inlineStr">
        <is>
          <t>Badri</t>
        </is>
      </c>
      <c r="E158" s="7" t="n">
        <v>15</v>
      </c>
      <c r="F158" s="1" t="inlineStr">
        <is>
          <t>India</t>
        </is>
      </c>
      <c r="G158" s="1" t="n"/>
      <c r="H158" s="1" t="inlineStr">
        <is>
          <t>No</t>
        </is>
      </c>
      <c r="I158" s="1" t="n"/>
      <c r="J158" s="1" t="n"/>
      <c r="K158" s="1" t="inlineStr">
        <is>
          <t>In stock</t>
        </is>
      </c>
      <c r="L158" s="3" t="n">
        <v>13</v>
      </c>
      <c r="M158" s="4" t="b">
        <v>0</v>
      </c>
      <c r="N158" s="3" t="n">
        <v>5</v>
      </c>
      <c r="O158" s="1" t="n"/>
      <c r="P158" s="1" t="n"/>
      <c r="Q158" s="1" t="n"/>
      <c r="R158" s="1" t="n"/>
      <c r="S158" s="1" t="inlineStr">
        <is>
          <t>Mobile (travels with robot)</t>
        </is>
      </c>
      <c r="T158" s="1" t="n"/>
      <c r="U158" s="3" t="n">
        <v>191</v>
      </c>
      <c r="V158" s="1">
        <f>IF($K158="To be purchased",COUNTIF($K$2:$K158,"To be purchased"),"")</f>
        <v/>
      </c>
    </row>
    <row r="159">
      <c r="A159" s="1" t="inlineStr">
        <is>
          <t>Wire, connector, cables &amp; crimps</t>
        </is>
      </c>
      <c r="B159" s="2" t="inlineStr">
        <is>
          <t>Connector - XT30, Female</t>
        </is>
      </c>
      <c r="C159" s="2" t="inlineStr">
        <is>
          <t>13-E Connectors - Power</t>
        </is>
      </c>
      <c r="D159" s="1" t="inlineStr">
        <is>
          <t>Badri</t>
        </is>
      </c>
      <c r="E159" s="7" t="n">
        <v>15</v>
      </c>
      <c r="F159" s="1" t="inlineStr">
        <is>
          <t>India</t>
        </is>
      </c>
      <c r="G159" s="1" t="n"/>
      <c r="H159" s="1" t="inlineStr">
        <is>
          <t>No</t>
        </is>
      </c>
      <c r="I159" s="1" t="n"/>
      <c r="J159" s="1" t="n"/>
      <c r="K159" s="1" t="inlineStr">
        <is>
          <t>In stock</t>
        </is>
      </c>
      <c r="L159" s="3" t="n">
        <v>13</v>
      </c>
      <c r="M159" s="4" t="b">
        <v>0</v>
      </c>
      <c r="N159" s="3" t="n">
        <v>5</v>
      </c>
      <c r="O159" s="1" t="n"/>
      <c r="P159" s="1" t="n"/>
      <c r="Q159" s="1" t="n"/>
      <c r="R159" s="1" t="n"/>
      <c r="S159" s="1" t="inlineStr">
        <is>
          <t>Mobile (travels with robot)</t>
        </is>
      </c>
      <c r="T159" s="1" t="n"/>
      <c r="U159" s="3" t="n">
        <v>192</v>
      </c>
      <c r="V159" s="1">
        <f>IF($K159="To be purchased",COUNTIF($K$2:$K159,"To be purchased"),"")</f>
        <v/>
      </c>
    </row>
    <row r="160">
      <c r="A160" s="1" t="inlineStr">
        <is>
          <t>Bringup Kit</t>
        </is>
      </c>
      <c r="B160" s="2" t="inlineStr">
        <is>
          <t>SBH OST Tool AC to DC Cable</t>
        </is>
      </c>
      <c r="C160" s="2" t="inlineStr">
        <is>
          <t>13-F Connectors - Circular</t>
        </is>
      </c>
      <c r="D160" s="1" t="inlineStr">
        <is>
          <t>Badri</t>
        </is>
      </c>
      <c r="E160" s="8" t="inlineStr">
        <is>
          <t>1</t>
        </is>
      </c>
      <c r="F160" s="1" t="inlineStr">
        <is>
          <t>India</t>
        </is>
      </c>
      <c r="G160" s="1" t="n"/>
      <c r="H160" s="1" t="inlineStr">
        <is>
          <t>No</t>
        </is>
      </c>
      <c r="I160" s="1" t="n"/>
      <c r="J160" s="1" t="n"/>
      <c r="K160" s="1" t="inlineStr">
        <is>
          <t>In stock</t>
        </is>
      </c>
      <c r="L160" s="3" t="n">
        <v>2</v>
      </c>
      <c r="M160" s="4" t="b">
        <v>0</v>
      </c>
      <c r="N160" s="3" t="n">
        <v>1</v>
      </c>
      <c r="O160" s="1" t="n"/>
      <c r="P160" s="1" t="n"/>
      <c r="Q160" s="1" t="n"/>
      <c r="R160" s="1" t="n"/>
      <c r="S160" s="1" t="inlineStr">
        <is>
          <t>Mobile (travels with robot)</t>
        </is>
      </c>
      <c r="T160" s="1" t="n"/>
      <c r="U160" s="3" t="n">
        <v>135</v>
      </c>
      <c r="V160" s="1">
        <f>IF($K160="To be purchased",COUNTIF($K$2:$K160,"To be purchased"),"")</f>
        <v/>
      </c>
    </row>
    <row r="161">
      <c r="A161" s="1" t="inlineStr">
        <is>
          <t>Wire, connector, cables &amp; crimps</t>
        </is>
      </c>
      <c r="B161" s="2" t="inlineStr">
        <is>
          <t>Connector - DC Barrel Jack, 5 mm Male - Orin power</t>
        </is>
      </c>
      <c r="C161" s="2" t="inlineStr">
        <is>
          <t>13-F Connectors - Circular</t>
        </is>
      </c>
      <c r="D161" s="1" t="inlineStr">
        <is>
          <t>Uttez</t>
        </is>
      </c>
      <c r="E161" s="1" t="inlineStr">
        <is>
          <t>3</t>
        </is>
      </c>
      <c r="F161" s="1" t="inlineStr">
        <is>
          <t>India</t>
        </is>
      </c>
      <c r="G161" s="1" t="n"/>
      <c r="H161" s="1" t="inlineStr">
        <is>
          <t>No</t>
        </is>
      </c>
      <c r="I161" s="1" t="n"/>
      <c r="J161" s="1" t="n"/>
      <c r="K161" s="1" t="inlineStr">
        <is>
          <t>In stock</t>
        </is>
      </c>
      <c r="L161" s="3" t="n">
        <v>13</v>
      </c>
      <c r="M161" s="4" t="b">
        <v>0</v>
      </c>
      <c r="N161" s="3" t="n">
        <v>5</v>
      </c>
      <c r="O161" s="1" t="n"/>
      <c r="P161" s="1" t="n"/>
      <c r="Q161" s="1" t="n"/>
      <c r="R161" s="1" t="n"/>
      <c r="S161" s="1" t="inlineStr">
        <is>
          <t>Mobile (travels with robot)</t>
        </is>
      </c>
      <c r="T161" s="2" t="inlineStr">
        <is>
          <t>[BOX CHANGED: 9 Compute &amp; Network -&gt; 13 Wire, connector, cables &amp; crimps]</t>
        </is>
      </c>
      <c r="U161" s="3" t="n">
        <v>138</v>
      </c>
      <c r="V161" s="1">
        <f>IF($K161="To be purchased",COUNTIF($K$2:$K161,"To be purchased"),"")</f>
        <v/>
      </c>
    </row>
    <row r="162">
      <c r="A162" s="1" t="inlineStr">
        <is>
          <t>Wire, connector, cables &amp; crimps</t>
        </is>
      </c>
      <c r="B162" s="2" t="inlineStr">
        <is>
          <t>Connector - Circular DH-24 RJ45 Male Plug, DH-24-C/RJ45/015/PE-43-001 -LP-20-C08PE-01-051 Sander, Sprayer wire set</t>
        </is>
      </c>
      <c r="C162" s="2" t="inlineStr">
        <is>
          <t>13-F Connectors - Circular</t>
        </is>
      </c>
      <c r="D162" s="1" t="inlineStr">
        <is>
          <t>Uttez</t>
        </is>
      </c>
      <c r="E162" s="1" t="n">
        <v>2</v>
      </c>
      <c r="F162" s="1" t="inlineStr">
        <is>
          <t>India</t>
        </is>
      </c>
      <c r="G162" s="1" t="n"/>
      <c r="H162" s="1" t="inlineStr">
        <is>
          <t>No</t>
        </is>
      </c>
      <c r="I162" s="1" t="n"/>
      <c r="J162" s="1" t="n"/>
      <c r="K162" s="1" t="inlineStr">
        <is>
          <t>In stock</t>
        </is>
      </c>
      <c r="L162" s="3" t="n">
        <v>13</v>
      </c>
      <c r="M162" s="4" t="b">
        <v>0</v>
      </c>
      <c r="N162" s="3" t="n">
        <v>5</v>
      </c>
      <c r="O162" s="1" t="n"/>
      <c r="P162" s="1" t="n"/>
      <c r="Q162" s="1" t="n"/>
      <c r="R162" s="1" t="n"/>
      <c r="S162" s="1" t="inlineStr">
        <is>
          <t>Mobile (travels with robot)</t>
        </is>
      </c>
      <c r="T162" s="1" t="n"/>
      <c r="U162" s="3" t="n">
        <v>451</v>
      </c>
      <c r="V162" s="1">
        <f>IF($K162="To be purchased",COUNTIF($K$2:$K162,"To be purchased"),"")</f>
        <v/>
      </c>
    </row>
    <row r="163">
      <c r="A163" s="1" t="inlineStr">
        <is>
          <t>Wire, connector, cables &amp; crimps</t>
        </is>
      </c>
      <c r="B163" s="2" t="inlineStr">
        <is>
          <t>Connector - Circular M8 A-Code, 8-pin - camera trigger</t>
        </is>
      </c>
      <c r="C163" s="2" t="inlineStr">
        <is>
          <t>13-F Connectors - Circular</t>
        </is>
      </c>
      <c r="D163" s="1" t="inlineStr">
        <is>
          <t>Uttez</t>
        </is>
      </c>
      <c r="E163" s="1" t="inlineStr">
        <is>
          <t>3</t>
        </is>
      </c>
      <c r="F163" s="1" t="inlineStr">
        <is>
          <t>India</t>
        </is>
      </c>
      <c r="G163" s="1" t="n"/>
      <c r="H163" s="1" t="inlineStr">
        <is>
          <t>No</t>
        </is>
      </c>
      <c r="I163" s="1" t="n"/>
      <c r="J163" s="1" t="inlineStr">
        <is>
          <t>PR-2026-1527</t>
        </is>
      </c>
      <c r="K163" s="1" t="inlineStr">
        <is>
          <t>Payment Done</t>
        </is>
      </c>
      <c r="L163" s="3" t="n">
        <v>13</v>
      </c>
      <c r="M163" s="4" t="b">
        <v>0</v>
      </c>
      <c r="N163" s="3" t="n">
        <v>5</v>
      </c>
      <c r="O163" s="1" t="n"/>
      <c r="P163" s="1" t="n"/>
      <c r="Q163" s="1" t="n"/>
      <c r="R163" s="1" t="n"/>
      <c r="S163" s="1" t="inlineStr">
        <is>
          <t>Mobile (travels with robot)</t>
        </is>
      </c>
      <c r="T163" s="1" t="n"/>
      <c r="U163" s="3" t="n">
        <v>464</v>
      </c>
      <c r="V163" s="1">
        <f>IF($K163="To be purchased",COUNTIF($K$2:$K163,"To be purchased"),"")</f>
        <v/>
      </c>
    </row>
    <row r="164">
      <c r="A164" s="1" t="inlineStr">
        <is>
          <t>Wire, connector, cables &amp; crimps</t>
        </is>
      </c>
      <c r="B164" s="2" t="inlineStr">
        <is>
          <t>Connector - Circular LP-16, 8-pin Male Plug, LP-16-C08PE-01-001 - TS sander DC interaction + CAN</t>
        </is>
      </c>
      <c r="C164" s="2" t="inlineStr">
        <is>
          <t>13-F Connectors - Circular</t>
        </is>
      </c>
      <c r="D164" s="1" t="inlineStr">
        <is>
          <t>Uttez</t>
        </is>
      </c>
      <c r="E164" s="1" t="n">
        <v>2</v>
      </c>
      <c r="F164" s="1" t="inlineStr">
        <is>
          <t>India</t>
        </is>
      </c>
      <c r="G164" s="1" t="n"/>
      <c r="H164" s="1" t="inlineStr">
        <is>
          <t>No</t>
        </is>
      </c>
      <c r="I164" s="1" t="n"/>
      <c r="J164" s="1" t="n"/>
      <c r="K164" s="1" t="inlineStr">
        <is>
          <t>In stock</t>
        </is>
      </c>
      <c r="L164" s="3" t="n">
        <v>13</v>
      </c>
      <c r="M164" s="4" t="b">
        <v>0</v>
      </c>
      <c r="N164" s="3" t="n">
        <v>5</v>
      </c>
      <c r="O164" s="1" t="n"/>
      <c r="P164" s="1" t="n"/>
      <c r="Q164" s="1" t="n"/>
      <c r="R164" s="1" t="n"/>
      <c r="S164" s="1" t="inlineStr">
        <is>
          <t>Mobile (travels with robot)</t>
        </is>
      </c>
      <c r="T164" s="2" t="inlineStr">
        <is>
          <t>[BOX CHANGED: 17 Diagnostic &amp; repair tools -&gt; 13 Wire, connector, cables &amp; crimps] [POSSIBLE DUPLICATE of source row 69. Previous status: IQC Stage] Also stocked in: Tool Spares / Sprayer EBOM. Kept separate on purpose - one per box.</t>
        </is>
      </c>
      <c r="U164" s="3" t="n">
        <v>491</v>
      </c>
      <c r="V164" s="1">
        <f>IF($K164="To be purchased",COUNTIF($K$2:$K164,"To be purchased"),"")</f>
        <v/>
      </c>
    </row>
    <row r="165">
      <c r="A165" s="1" t="inlineStr">
        <is>
          <t>Wire, connector, cables &amp; crimps</t>
        </is>
      </c>
      <c r="B165" s="2" t="inlineStr">
        <is>
          <t>Connector - AC 3-pin Male Plug, 51-202311-01 - TS sander AC power</t>
        </is>
      </c>
      <c r="C165" s="2" t="inlineStr">
        <is>
          <t>13-F Connectors - Circular</t>
        </is>
      </c>
      <c r="D165" s="1" t="inlineStr">
        <is>
          <t>Uttez</t>
        </is>
      </c>
      <c r="E165" s="1" t="n">
        <v>2</v>
      </c>
      <c r="F165" s="1" t="inlineStr">
        <is>
          <t>India</t>
        </is>
      </c>
      <c r="G165" s="1" t="n"/>
      <c r="H165" s="1" t="inlineStr">
        <is>
          <t>Yes</t>
        </is>
      </c>
      <c r="I165" s="1" t="n"/>
      <c r="J165" s="6">
        <f>IFERROR(HYPERLINK("https://docs.google.com/spreadsheets/d/10M8oEMfSST-xuPwcSARfQDNcQJ0xrCp8O9iHBGPAr34/edit?gid=1956219685&amp;range=A"&amp;MATCH("PR-2026-1628",'PR Lookup'!A:A,0),"PR-2026-1628"),"PR-2026-1628")</f>
        <v/>
      </c>
      <c r="K165" s="1" t="inlineStr">
        <is>
          <t>IQC Stage</t>
        </is>
      </c>
      <c r="L165" s="3" t="n">
        <v>13</v>
      </c>
      <c r="M165" s="4" t="b">
        <v>0</v>
      </c>
      <c r="N165" s="3" t="n">
        <v>5</v>
      </c>
      <c r="O165" s="1" t="n"/>
      <c r="P165" s="1" t="n"/>
      <c r="Q165" s="1" t="n"/>
      <c r="R165" s="1" t="n"/>
      <c r="S165" s="1" t="inlineStr">
        <is>
          <t>Mobile (travels with robot)</t>
        </is>
      </c>
      <c r="T165" s="2" t="inlineStr">
        <is>
          <t>[POSSIBLE DUPLICATE of source row 135. Previous status: IQC Stage]</t>
        </is>
      </c>
      <c r="U165" s="3" t="n">
        <v>492</v>
      </c>
      <c r="V165" s="1">
        <f>IF($K165="To be purchased",COUNTIF($K$2:$K165,"To be purchased"),"")</f>
        <v/>
      </c>
    </row>
    <row r="166">
      <c r="A166" s="1" t="inlineStr">
        <is>
          <t>Wire, connector, cables &amp; crimps</t>
        </is>
      </c>
      <c r="B166" s="2" t="inlineStr">
        <is>
          <t>Connector - Ethernet RJ45 Male (field termination)</t>
        </is>
      </c>
      <c r="C166" s="2" t="inlineStr">
        <is>
          <t>13-G Connectors - RJ45 &amp; DB9</t>
        </is>
      </c>
      <c r="D166" s="1" t="inlineStr">
        <is>
          <t>Uttez</t>
        </is>
      </c>
      <c r="E166" s="1" t="inlineStr">
        <is>
          <t>1</t>
        </is>
      </c>
      <c r="F166" s="1" t="inlineStr">
        <is>
          <t>India</t>
        </is>
      </c>
      <c r="G166" s="1" t="n"/>
      <c r="H166" s="1" t="inlineStr">
        <is>
          <t>No</t>
        </is>
      </c>
      <c r="I166" s="1" t="n"/>
      <c r="J166" s="1" t="n"/>
      <c r="K166" s="1" t="inlineStr">
        <is>
          <t>In stock</t>
        </is>
      </c>
      <c r="L166" s="3" t="n">
        <v>13</v>
      </c>
      <c r="M166" s="4" t="b">
        <v>0</v>
      </c>
      <c r="N166" s="3" t="n">
        <v>5</v>
      </c>
      <c r="O166" s="1" t="n"/>
      <c r="P166" s="1" t="n"/>
      <c r="Q166" s="1" t="n"/>
      <c r="R166" s="1" t="n"/>
      <c r="S166" s="1" t="inlineStr">
        <is>
          <t>Mobile (travels with robot)</t>
        </is>
      </c>
      <c r="T166" s="1" t="n"/>
      <c r="U166" s="3" t="n">
        <v>150</v>
      </c>
      <c r="V166" s="1">
        <f>IF($K166="To be purchased",COUNTIF($K$2:$K166,"To be purchased"),"")</f>
        <v/>
      </c>
    </row>
    <row r="167">
      <c r="A167" s="1" t="inlineStr">
        <is>
          <t>Wire, connector, cables &amp; crimps</t>
        </is>
      </c>
      <c r="B167" s="2" t="inlineStr">
        <is>
          <t>Connector - RJ45 Cat 6, CE6324</t>
        </is>
      </c>
      <c r="C167" s="2" t="inlineStr">
        <is>
          <t>13-G Connectors - RJ45 &amp; DB9</t>
        </is>
      </c>
      <c r="D167" s="1" t="inlineStr">
        <is>
          <t>Badri</t>
        </is>
      </c>
      <c r="E167" s="7" t="inlineStr">
        <is>
          <t>20</t>
        </is>
      </c>
      <c r="F167" s="1" t="inlineStr">
        <is>
          <t>India</t>
        </is>
      </c>
      <c r="G167" s="1" t="n"/>
      <c r="H167" s="1" t="inlineStr">
        <is>
          <t>No</t>
        </is>
      </c>
      <c r="I167" s="1" t="n"/>
      <c r="J167" s="1" t="n"/>
      <c r="K167" s="1" t="inlineStr">
        <is>
          <t>PR Raised</t>
        </is>
      </c>
      <c r="L167" s="3" t="n">
        <v>13</v>
      </c>
      <c r="M167" s="4" t="b">
        <v>0</v>
      </c>
      <c r="N167" s="3" t="n">
        <v>5</v>
      </c>
      <c r="O167" s="1" t="n"/>
      <c r="P167" s="1" t="n"/>
      <c r="Q167" s="1" t="n"/>
      <c r="R167" s="1" t="n"/>
      <c r="S167" s="1" t="inlineStr">
        <is>
          <t>Mobile (travels with robot)</t>
        </is>
      </c>
      <c r="T167" s="1" t="n"/>
      <c r="U167" s="3" t="n">
        <v>193</v>
      </c>
      <c r="V167" s="1">
        <f>IF($K167="To be purchased",COUNTIF($K$2:$K167,"To be purchased"),"")</f>
        <v/>
      </c>
    </row>
    <row r="168">
      <c r="A168" s="1" t="inlineStr">
        <is>
          <t>Wire, connector, cables &amp; crimps</t>
        </is>
      </c>
      <c r="B168" s="2" t="inlineStr">
        <is>
          <t>Boot Cap - RJ45, CE6324</t>
        </is>
      </c>
      <c r="C168" s="2" t="inlineStr">
        <is>
          <t>13-G Connectors - RJ45 &amp; DB9</t>
        </is>
      </c>
      <c r="D168" s="1" t="inlineStr">
        <is>
          <t>Badri</t>
        </is>
      </c>
      <c r="E168" s="7" t="inlineStr">
        <is>
          <t>20</t>
        </is>
      </c>
      <c r="F168" s="1" t="inlineStr">
        <is>
          <t>India</t>
        </is>
      </c>
      <c r="G168" s="1" t="n"/>
      <c r="H168" s="1" t="inlineStr">
        <is>
          <t>No</t>
        </is>
      </c>
      <c r="I168" s="1" t="n"/>
      <c r="J168" s="1" t="n"/>
      <c r="K168" s="1" t="inlineStr">
        <is>
          <t>PR Raised</t>
        </is>
      </c>
      <c r="L168" s="3" t="n">
        <v>13</v>
      </c>
      <c r="M168" s="4" t="b">
        <v>0</v>
      </c>
      <c r="N168" s="3" t="n">
        <v>5</v>
      </c>
      <c r="O168" s="1" t="n"/>
      <c r="P168" s="1" t="n"/>
      <c r="Q168" s="1" t="n"/>
      <c r="R168" s="1" t="n"/>
      <c r="S168" s="1" t="inlineStr">
        <is>
          <t>Mobile (travels with robot)</t>
        </is>
      </c>
      <c r="T168" s="1" t="n"/>
      <c r="U168" s="3" t="n">
        <v>194</v>
      </c>
      <c r="V168" s="1">
        <f>IF($K168="To be purchased",COUNTIF($K$2:$K168,"To be purchased"),"")</f>
        <v/>
      </c>
    </row>
    <row r="169">
      <c r="A169" s="1" t="inlineStr">
        <is>
          <t>Wire, connector, cables &amp; crimps</t>
        </is>
      </c>
      <c r="B169" s="2" t="inlineStr">
        <is>
          <t>Connector - RJ45 Cat 7, FEDUS-CAT7</t>
        </is>
      </c>
      <c r="C169" s="2" t="inlineStr">
        <is>
          <t>13-G Connectors - RJ45 &amp; DB9</t>
        </is>
      </c>
      <c r="D169" s="1" t="inlineStr">
        <is>
          <t>Badri</t>
        </is>
      </c>
      <c r="E169" s="7" t="inlineStr">
        <is>
          <t>20</t>
        </is>
      </c>
      <c r="F169" s="1" t="inlineStr">
        <is>
          <t>India</t>
        </is>
      </c>
      <c r="G169" s="1" t="n"/>
      <c r="H169" s="1" t="inlineStr">
        <is>
          <t>No</t>
        </is>
      </c>
      <c r="I169" s="1" t="n"/>
      <c r="J169" s="1" t="n"/>
      <c r="K169" s="1" t="inlineStr">
        <is>
          <t>PR Raised</t>
        </is>
      </c>
      <c r="L169" s="3" t="n">
        <v>13</v>
      </c>
      <c r="M169" s="4" t="b">
        <v>0</v>
      </c>
      <c r="N169" s="3" t="n">
        <v>5</v>
      </c>
      <c r="O169" s="1" t="n"/>
      <c r="P169" s="1" t="n"/>
      <c r="Q169" s="1" t="n"/>
      <c r="R169" s="1" t="n"/>
      <c r="S169" s="1" t="inlineStr">
        <is>
          <t>Mobile (travels with robot)</t>
        </is>
      </c>
      <c r="T169" s="1" t="n"/>
      <c r="U169" s="3" t="n">
        <v>195</v>
      </c>
      <c r="V169" s="1">
        <f>IF($K169="To be purchased",COUNTIF($K$2:$K169,"To be purchased"),"")</f>
        <v/>
      </c>
    </row>
    <row r="170">
      <c r="A170" s="1" t="inlineStr">
        <is>
          <t>Wire, connector, cables &amp; crimps</t>
        </is>
      </c>
      <c r="B170" s="2" t="inlineStr">
        <is>
          <t>Boot Cap - RJ45, Silicone</t>
        </is>
      </c>
      <c r="C170" s="2" t="inlineStr">
        <is>
          <t>13-G Connectors - RJ45 &amp; DB9</t>
        </is>
      </c>
      <c r="D170" s="1" t="inlineStr">
        <is>
          <t>Badri</t>
        </is>
      </c>
      <c r="E170" s="1" t="inlineStr">
        <is>
          <t>20</t>
        </is>
      </c>
      <c r="F170" s="1" t="inlineStr">
        <is>
          <t>India</t>
        </is>
      </c>
      <c r="G170" s="1" t="n"/>
      <c r="H170" s="1" t="inlineStr">
        <is>
          <t>No</t>
        </is>
      </c>
      <c r="I170" s="1" t="n"/>
      <c r="J170" s="1" t="n"/>
      <c r="K170" s="1" t="inlineStr">
        <is>
          <t>In stock</t>
        </is>
      </c>
      <c r="L170" s="3" t="n">
        <v>13</v>
      </c>
      <c r="M170" s="4" t="b">
        <v>0</v>
      </c>
      <c r="N170" s="3" t="n">
        <v>5</v>
      </c>
      <c r="O170" s="1" t="n"/>
      <c r="P170" s="1" t="n"/>
      <c r="Q170" s="1" t="n"/>
      <c r="R170" s="1" t="n"/>
      <c r="S170" s="1" t="inlineStr">
        <is>
          <t>Mobile (travels with robot)</t>
        </is>
      </c>
      <c r="T170" s="2" t="inlineStr">
        <is>
          <t>[POSSIBLE DUPLICATE of source row 194. Previous status: IQC Stage]</t>
        </is>
      </c>
      <c r="U170" s="3" t="n">
        <v>196</v>
      </c>
      <c r="V170" s="1">
        <f>IF($K170="To be purchased",COUNTIF($K$2:$K170,"To be purchased"),"")</f>
        <v/>
      </c>
    </row>
    <row r="171">
      <c r="A171" s="1" t="inlineStr">
        <is>
          <t>Wire, connector, cables &amp; crimps</t>
        </is>
      </c>
      <c r="B171" s="2" t="inlineStr">
        <is>
          <t>Connector - DB9 Female, Straight, Solder Type</t>
        </is>
      </c>
      <c r="C171" s="2" t="inlineStr">
        <is>
          <t>13-G Connectors - RJ45 &amp; DB9</t>
        </is>
      </c>
      <c r="D171" s="1" t="inlineStr">
        <is>
          <t>Badri</t>
        </is>
      </c>
      <c r="E171" s="7" t="inlineStr">
        <is>
          <t>10</t>
        </is>
      </c>
      <c r="F171" s="1" t="inlineStr">
        <is>
          <t>India</t>
        </is>
      </c>
      <c r="G171" s="1" t="n"/>
      <c r="H171" s="1" t="inlineStr">
        <is>
          <t>No</t>
        </is>
      </c>
      <c r="I171" s="1" t="n"/>
      <c r="J171" s="1" t="n"/>
      <c r="K171" s="1" t="inlineStr">
        <is>
          <t>In stock</t>
        </is>
      </c>
      <c r="L171" s="3" t="n">
        <v>13</v>
      </c>
      <c r="M171" s="4" t="b">
        <v>0</v>
      </c>
      <c r="N171" s="3" t="n">
        <v>5</v>
      </c>
      <c r="O171" s="1" t="n"/>
      <c r="P171" s="1" t="n"/>
      <c r="Q171" s="1" t="n"/>
      <c r="R171" s="1" t="n"/>
      <c r="S171" s="1" t="inlineStr">
        <is>
          <t>Mobile (travels with robot)</t>
        </is>
      </c>
      <c r="T171" s="1" t="n"/>
      <c r="U171" s="3" t="n">
        <v>197</v>
      </c>
      <c r="V171" s="1">
        <f>IF($K171="To be purchased",COUNTIF($K$2:$K171,"To be purchased"),"")</f>
        <v/>
      </c>
    </row>
    <row r="172">
      <c r="A172" s="1" t="inlineStr">
        <is>
          <t>Wire, connector, cables &amp; crimps</t>
        </is>
      </c>
      <c r="B172" s="2" t="inlineStr">
        <is>
          <t>Connector - DB9 Housing</t>
        </is>
      </c>
      <c r="C172" s="2" t="inlineStr">
        <is>
          <t>13-G Connectors - RJ45 &amp; DB9</t>
        </is>
      </c>
      <c r="D172" s="1" t="inlineStr">
        <is>
          <t>Badri</t>
        </is>
      </c>
      <c r="E172" s="7" t="inlineStr">
        <is>
          <t>10</t>
        </is>
      </c>
      <c r="F172" s="1" t="inlineStr">
        <is>
          <t>India</t>
        </is>
      </c>
      <c r="G172" s="1" t="n"/>
      <c r="H172" s="1" t="inlineStr">
        <is>
          <t>No</t>
        </is>
      </c>
      <c r="I172" s="1" t="n"/>
      <c r="J172" s="1" t="n"/>
      <c r="K172" s="1" t="inlineStr">
        <is>
          <t>In stock</t>
        </is>
      </c>
      <c r="L172" s="3" t="n">
        <v>13</v>
      </c>
      <c r="M172" s="4" t="b">
        <v>0</v>
      </c>
      <c r="N172" s="3" t="n">
        <v>5</v>
      </c>
      <c r="O172" s="1" t="n"/>
      <c r="P172" s="1" t="n"/>
      <c r="Q172" s="1" t="n"/>
      <c r="R172" s="1" t="n"/>
      <c r="S172" s="1" t="inlineStr">
        <is>
          <t>Mobile (travels with robot)</t>
        </is>
      </c>
      <c r="T172" s="1" t="n"/>
      <c r="U172" s="3" t="n">
        <v>198</v>
      </c>
      <c r="V172" s="1">
        <f>IF($K172="To be purchased",COUNTIF($K$2:$K172,"To be purchased"),"")</f>
        <v/>
      </c>
    </row>
    <row r="173">
      <c r="A173" s="1" t="inlineStr">
        <is>
          <t>Wire, connector, cables &amp; crimps</t>
        </is>
      </c>
      <c r="B173" s="2" t="inlineStr">
        <is>
          <t>Panel Socket - Tool AC, 51-102351-01 MoMa &amp; OST</t>
        </is>
      </c>
      <c r="C173" s="2" t="inlineStr">
        <is>
          <t>13-H Panel Sockets &amp; Panel Mounts</t>
        </is>
      </c>
      <c r="D173" s="1" t="inlineStr">
        <is>
          <t>Badri</t>
        </is>
      </c>
      <c r="E173" s="16" t="n">
        <v>2</v>
      </c>
      <c r="F173" s="1" t="inlineStr">
        <is>
          <t>India</t>
        </is>
      </c>
      <c r="G173" s="1" t="n"/>
      <c r="H173" s="1" t="inlineStr">
        <is>
          <t>Yes</t>
        </is>
      </c>
      <c r="I173" s="5" t="n"/>
      <c r="J173" s="6">
        <f>IFERROR(HYPERLINK("https://docs.google.com/spreadsheets/d/10M8oEMfSST-xuPwcSARfQDNcQJ0xrCp8O9iHBGPAr34/edit?gid=1956219685&amp;range=A"&amp;MATCH("PR-2026-1687",'PR Lookup'!A:A,0),"PR-2026-1687"),"PR-2026-1687")</f>
        <v/>
      </c>
      <c r="K173" s="1" t="inlineStr">
        <is>
          <t>In stock</t>
        </is>
      </c>
      <c r="L173" s="3" t="n">
        <v>13</v>
      </c>
      <c r="M173" s="4" t="b">
        <v>0</v>
      </c>
      <c r="N173" s="3" t="n">
        <v>5</v>
      </c>
      <c r="O173" s="1" t="n"/>
      <c r="P173" s="1" t="n"/>
      <c r="Q173" s="1" t="n"/>
      <c r="R173" s="1" t="n"/>
      <c r="S173" s="1" t="inlineStr">
        <is>
          <t>NY Stationary (stays in NY inventory)</t>
        </is>
      </c>
      <c r="T173" s="2" t="inlineStr">
        <is>
          <t>[BOX CHANGED: 16 Mechanical parts -&gt; 13 Wire, connector, cables &amp; crimps]</t>
        </is>
      </c>
      <c r="U173" s="3" t="n">
        <v>54</v>
      </c>
      <c r="V173" s="1">
        <f>IF($K173="To be purchased",COUNTIF($K$2:$K173,"To be purchased"),"")</f>
        <v/>
      </c>
    </row>
    <row r="174">
      <c r="A174" s="1" t="inlineStr">
        <is>
          <t>Wire, connector, cables &amp; crimps</t>
        </is>
      </c>
      <c r="B174" s="2" t="inlineStr">
        <is>
          <t>Panel Socket - Tool DC COM, LP-16-J08SX-03-401 MoMa &amp; OST</t>
        </is>
      </c>
      <c r="C174" s="2" t="inlineStr">
        <is>
          <t>13-H Panel Sockets &amp; Panel Mounts</t>
        </is>
      </c>
      <c r="D174" s="1" t="inlineStr">
        <is>
          <t>Badri</t>
        </is>
      </c>
      <c r="E174" s="1" t="n">
        <v>2</v>
      </c>
      <c r="F174" s="1" t="inlineStr">
        <is>
          <t>India</t>
        </is>
      </c>
      <c r="G174" s="1" t="n"/>
      <c r="H174" s="1" t="inlineStr">
        <is>
          <t>Yes</t>
        </is>
      </c>
      <c r="I174" s="5" t="n"/>
      <c r="J174" s="6">
        <f>IFERROR(HYPERLINK("https://docs.google.com/spreadsheets/d/10M8oEMfSST-xuPwcSARfQDNcQJ0xrCp8O9iHBGPAr34/edit?gid=1956219685&amp;range=A"&amp;MATCH("PR-2026-1688",'PR Lookup'!A:A,0),"PR-2026-1688"),"PR-2026-1688")</f>
        <v/>
      </c>
      <c r="K174" s="1" t="inlineStr">
        <is>
          <t>In stock</t>
        </is>
      </c>
      <c r="L174" s="3" t="n">
        <v>13</v>
      </c>
      <c r="M174" s="4" t="b">
        <v>0</v>
      </c>
      <c r="N174" s="3" t="n">
        <v>5</v>
      </c>
      <c r="O174" s="1" t="n"/>
      <c r="P174" s="1" t="n"/>
      <c r="Q174" s="1" t="n"/>
      <c r="R174" s="1" t="n"/>
      <c r="S174" s="1" t="inlineStr">
        <is>
          <t>Mobile (travels with robot)</t>
        </is>
      </c>
      <c r="T174" s="2" t="inlineStr">
        <is>
          <t>[BOX CHANGED: 16 Mechanical parts -&gt; 13 Wire, connector, cables &amp; crimps]</t>
        </is>
      </c>
      <c r="U174" s="3" t="n">
        <v>68</v>
      </c>
      <c r="V174" s="1">
        <f>IF($K174="To be purchased",COUNTIF($K$2:$K174,"To be purchased"),"")</f>
        <v/>
      </c>
    </row>
    <row r="175">
      <c r="A175" s="1" t="inlineStr">
        <is>
          <t>Wire, connector, cables &amp; crimps</t>
        </is>
      </c>
      <c r="B175" s="2" t="inlineStr">
        <is>
          <t>Panel Socket - Ethernet RJ45, DH-24-J/RJ45/213/SX-43-401 - EOA</t>
        </is>
      </c>
      <c r="C175" s="2" t="inlineStr">
        <is>
          <t>13-H Panel Sockets &amp; Panel Mounts</t>
        </is>
      </c>
      <c r="D175" s="1" t="inlineStr">
        <is>
          <t>Badri</t>
        </is>
      </c>
      <c r="E175" s="7" t="inlineStr">
        <is>
          <t>1</t>
        </is>
      </c>
      <c r="F175" s="1" t="inlineStr">
        <is>
          <t>India</t>
        </is>
      </c>
      <c r="G175" s="1" t="n"/>
      <c r="H175" s="1" t="inlineStr">
        <is>
          <t>No</t>
        </is>
      </c>
      <c r="I175" s="1" t="n"/>
      <c r="J175" s="1" t="n"/>
      <c r="K175" s="1" t="inlineStr">
        <is>
          <t>PR Raised</t>
        </is>
      </c>
      <c r="L175" s="3" t="n">
        <v>13</v>
      </c>
      <c r="M175" s="4" t="b">
        <v>0</v>
      </c>
      <c r="N175" s="3" t="n">
        <v>5</v>
      </c>
      <c r="O175" s="1" t="n"/>
      <c r="P175" s="1" t="n"/>
      <c r="Q175" s="1" t="n"/>
      <c r="R175" s="1" t="n"/>
      <c r="S175" s="1" t="inlineStr">
        <is>
          <t>Mobile (travels with robot)</t>
        </is>
      </c>
      <c r="T175" s="1" t="n"/>
      <c r="U175" s="3" t="n">
        <v>99</v>
      </c>
      <c r="V175" s="1">
        <f>IF($K175="To be purchased",COUNTIF($K$2:$K175,"To be purchased"),"")</f>
        <v/>
      </c>
    </row>
    <row r="176">
      <c r="A176" s="1" t="inlineStr">
        <is>
          <t>Wire, connector, cables &amp; crimps</t>
        </is>
      </c>
      <c r="B176" s="2" t="inlineStr">
        <is>
          <t>Panel Socket - Power LP-20, 8-pin, LP-20-J08SX-03-451 - EOA</t>
        </is>
      </c>
      <c r="C176" s="2" t="inlineStr">
        <is>
          <t>13-H Panel Sockets &amp; Panel Mounts</t>
        </is>
      </c>
      <c r="D176" s="1" t="inlineStr">
        <is>
          <t>Badri</t>
        </is>
      </c>
      <c r="E176" s="1" t="inlineStr">
        <is>
          <t>1</t>
        </is>
      </c>
      <c r="F176" s="1" t="inlineStr">
        <is>
          <t>India</t>
        </is>
      </c>
      <c r="G176" s="1" t="n"/>
      <c r="H176" s="1" t="inlineStr">
        <is>
          <t>Yes</t>
        </is>
      </c>
      <c r="I176" s="5" t="n"/>
      <c r="J176" s="6">
        <f>IFERROR(HYPERLINK("https://docs.google.com/spreadsheets/d/10M8oEMfSST-xuPwcSARfQDNcQJ0xrCp8O9iHBGPAr34/edit?gid=1956219685&amp;range=A"&amp;MATCH("PR-2026-1689",'PR Lookup'!A:A,0),"PR-2026-1689"),"PR-2026-1689")</f>
        <v/>
      </c>
      <c r="K176" s="1" t="inlineStr">
        <is>
          <t>In stock</t>
        </is>
      </c>
      <c r="L176" s="3" t="n">
        <v>13</v>
      </c>
      <c r="M176" s="4" t="b">
        <v>0</v>
      </c>
      <c r="N176" s="3" t="n">
        <v>5</v>
      </c>
      <c r="O176" s="1" t="n"/>
      <c r="P176" s="1" t="n"/>
      <c r="Q176" s="1" t="n"/>
      <c r="R176" s="1" t="n"/>
      <c r="S176" s="1" t="inlineStr">
        <is>
          <t>Mobile (travels with robot)</t>
        </is>
      </c>
      <c r="T176" s="1" t="n"/>
      <c r="U176" s="3" t="n">
        <v>100</v>
      </c>
      <c r="V176" s="1">
        <f>IF($K176="To be purchased",COUNTIF($K$2:$K176,"To be purchased"),"")</f>
        <v/>
      </c>
    </row>
    <row r="177">
      <c r="A177" s="1" t="inlineStr">
        <is>
          <t>Wire, connector, cables &amp; crimps</t>
        </is>
      </c>
      <c r="B177" s="2" t="inlineStr">
        <is>
          <t>Panel Mount - USB Type-C to Type-C, LP-16-J/TYPEC31 - HHM</t>
        </is>
      </c>
      <c r="C177" s="2" t="inlineStr">
        <is>
          <t>13-H Panel Sockets &amp; Panel Mounts</t>
        </is>
      </c>
      <c r="D177" s="1" t="inlineStr">
        <is>
          <t>Uttez</t>
        </is>
      </c>
      <c r="E177" s="1" t="inlineStr">
        <is>
          <t>1</t>
        </is>
      </c>
      <c r="F177" s="1" t="inlineStr">
        <is>
          <t>India</t>
        </is>
      </c>
      <c r="G177" s="1" t="n"/>
      <c r="H177" s="1" t="inlineStr">
        <is>
          <t>No</t>
        </is>
      </c>
      <c r="I177" s="1" t="n"/>
      <c r="J177" s="1" t="n"/>
      <c r="K177" s="1" t="inlineStr">
        <is>
          <t>In stock</t>
        </is>
      </c>
      <c r="L177" s="3" t="n">
        <v>13</v>
      </c>
      <c r="M177" s="4" t="b">
        <v>0</v>
      </c>
      <c r="N177" s="3" t="n">
        <v>5</v>
      </c>
      <c r="O177" s="1" t="n"/>
      <c r="P177" s="1" t="n"/>
      <c r="Q177" s="1" t="n"/>
      <c r="R177" s="1" t="n"/>
      <c r="S177" s="1" t="inlineStr">
        <is>
          <t>Mobile (travels with robot)</t>
        </is>
      </c>
      <c r="T177" s="2" t="inlineStr">
        <is>
          <t>[BOX CHANGED: 16 Mechanical parts -&gt; 13 Wire, connector, cables &amp; crimps]</t>
        </is>
      </c>
      <c r="U177" s="3" t="n">
        <v>154</v>
      </c>
      <c r="V177" s="1">
        <f>IF($K177="To be purchased",COUNTIF($K$2:$K177,"To be purchased"),"")</f>
        <v/>
      </c>
    </row>
    <row r="178">
      <c r="A178" s="1" t="inlineStr">
        <is>
          <t>Wire, connector, cables &amp; crimps</t>
        </is>
      </c>
      <c r="B178" s="2" t="inlineStr">
        <is>
          <t>Panel Mount - USB to USB, YU-USB3-JSX-01-001 --HHM</t>
        </is>
      </c>
      <c r="C178" s="2" t="inlineStr">
        <is>
          <t>13-H Panel Sockets &amp; Panel Mounts</t>
        </is>
      </c>
      <c r="D178" s="1" t="inlineStr">
        <is>
          <t>Uttez</t>
        </is>
      </c>
      <c r="E178" s="1" t="inlineStr">
        <is>
          <t>1</t>
        </is>
      </c>
      <c r="F178" s="1" t="inlineStr">
        <is>
          <t>India</t>
        </is>
      </c>
      <c r="G178" s="1" t="n"/>
      <c r="H178" s="1" t="inlineStr">
        <is>
          <t>No</t>
        </is>
      </c>
      <c r="I178" s="1" t="n"/>
      <c r="J178" s="1" t="n"/>
      <c r="K178" s="1" t="inlineStr">
        <is>
          <t>In stock</t>
        </is>
      </c>
      <c r="L178" s="3" t="n">
        <v>13</v>
      </c>
      <c r="M178" s="4" t="b">
        <v>0</v>
      </c>
      <c r="N178" s="3" t="n">
        <v>5</v>
      </c>
      <c r="O178" s="1" t="n"/>
      <c r="P178" s="1" t="n"/>
      <c r="Q178" s="1" t="n"/>
      <c r="R178" s="1" t="n"/>
      <c r="S178" s="1" t="inlineStr">
        <is>
          <t>Mobile (travels with robot)</t>
        </is>
      </c>
      <c r="T178" s="2" t="inlineStr">
        <is>
          <t>[BOX CHANGED: 16 Mechanical parts -&gt; 13 Wire, connector, cables &amp; crimps]</t>
        </is>
      </c>
      <c r="U178" s="3" t="n">
        <v>155</v>
      </c>
      <c r="V178" s="1">
        <f>IF($K178="To be purchased",COUNTIF($K$2:$K178,"To be purchased"),"")</f>
        <v/>
      </c>
    </row>
    <row r="179">
      <c r="A179" s="1" t="inlineStr">
        <is>
          <t>Wire, connector, cables &amp; crimps</t>
        </is>
      </c>
      <c r="B179" s="2" t="inlineStr">
        <is>
          <t>Panel Mount - HDMI to HDMI</t>
        </is>
      </c>
      <c r="C179" s="2" t="inlineStr">
        <is>
          <t>13-H Panel Sockets &amp; Panel Mounts</t>
        </is>
      </c>
      <c r="D179" s="1" t="inlineStr">
        <is>
          <t>Uttez</t>
        </is>
      </c>
      <c r="E179" s="1" t="inlineStr">
        <is>
          <t>1</t>
        </is>
      </c>
      <c r="F179" s="1" t="inlineStr">
        <is>
          <t>India</t>
        </is>
      </c>
      <c r="G179" s="1" t="n"/>
      <c r="H179" s="1" t="inlineStr">
        <is>
          <t>No</t>
        </is>
      </c>
      <c r="I179" s="1" t="n"/>
      <c r="J179" s="1" t="n"/>
      <c r="K179" s="1" t="inlineStr">
        <is>
          <t>IQC Stage</t>
        </is>
      </c>
      <c r="L179" s="3" t="n">
        <v>13</v>
      </c>
      <c r="M179" s="4" t="b">
        <v>0</v>
      </c>
      <c r="N179" s="3" t="n">
        <v>5</v>
      </c>
      <c r="O179" s="1" t="n"/>
      <c r="P179" s="1" t="n"/>
      <c r="Q179" s="1" t="n"/>
      <c r="R179" s="1" t="n"/>
      <c r="S179" s="1" t="inlineStr">
        <is>
          <t>Mobile (travels with robot)</t>
        </is>
      </c>
      <c r="T179" s="1" t="n"/>
      <c r="U179" s="3" t="n">
        <v>156</v>
      </c>
      <c r="V179" s="1">
        <f>IF($K179="To be purchased",COUNTIF($K$2:$K179,"To be purchased"),"")</f>
        <v/>
      </c>
    </row>
    <row r="180">
      <c r="A180" s="1" t="inlineStr">
        <is>
          <t>Bringup Kit</t>
        </is>
      </c>
      <c r="B180" s="2" t="inlineStr">
        <is>
          <t>Cable - USB C to USB C</t>
        </is>
      </c>
      <c r="C180" s="2" t="inlineStr">
        <is>
          <t>13-C Cables - Ethernet &amp; Data</t>
        </is>
      </c>
      <c r="D180" s="1" t="inlineStr">
        <is>
          <t>Uttez</t>
        </is>
      </c>
      <c r="E180" s="1" t="inlineStr">
        <is>
          <t>1</t>
        </is>
      </c>
      <c r="F180" s="1" t="inlineStr">
        <is>
          <t>India</t>
        </is>
      </c>
      <c r="G180" s="1" t="n"/>
      <c r="H180" s="1" t="inlineStr">
        <is>
          <t>No</t>
        </is>
      </c>
      <c r="I180" s="1" t="n"/>
      <c r="J180" s="1" t="n"/>
      <c r="K180" s="1" t="inlineStr">
        <is>
          <t>In stock</t>
        </is>
      </c>
      <c r="L180" s="3" t="n">
        <v>2</v>
      </c>
      <c r="M180" s="4" t="b">
        <v>0</v>
      </c>
      <c r="N180" s="3" t="n">
        <v>1</v>
      </c>
      <c r="O180" s="1" t="n"/>
      <c r="P180" s="1" t="n"/>
      <c r="Q180" s="1" t="n"/>
      <c r="R180" s="1" t="n"/>
      <c r="S180" s="1" t="inlineStr">
        <is>
          <t>Mobile (travels with robot)</t>
        </is>
      </c>
      <c r="T180" s="1" t="n"/>
      <c r="U180" s="3" t="n">
        <v>148</v>
      </c>
      <c r="V180" s="1">
        <f>IF($K180="To be purchased",COUNTIF($K$2:$K180,"To be purchased"),"")</f>
        <v/>
      </c>
    </row>
    <row r="181">
      <c r="A181" s="1" t="inlineStr">
        <is>
          <t>Wire, connector, cables &amp; crimps</t>
        </is>
      </c>
      <c r="B181" s="2" t="inlineStr">
        <is>
          <t>Filter (3D printed)</t>
        </is>
      </c>
      <c r="C181" s="2" t="inlineStr">
        <is>
          <t>13-I Crimps, Ferrules &amp; Lugs</t>
        </is>
      </c>
      <c r="D181" s="1" t="inlineStr">
        <is>
          <t>Kaustubh</t>
        </is>
      </c>
      <c r="E181" s="1" t="inlineStr">
        <is>
          <t>10</t>
        </is>
      </c>
      <c r="F181" s="1" t="inlineStr">
        <is>
          <t>India</t>
        </is>
      </c>
      <c r="G181" s="1" t="n"/>
      <c r="H181" s="1" t="inlineStr">
        <is>
          <t>No</t>
        </is>
      </c>
      <c r="I181" s="1" t="n"/>
      <c r="J181" s="1" t="n"/>
      <c r="K181" s="1" t="inlineStr">
        <is>
          <t>To be Printed</t>
        </is>
      </c>
      <c r="L181" s="3" t="n">
        <v>13</v>
      </c>
      <c r="M181" s="4" t="b">
        <v>0</v>
      </c>
      <c r="N181" s="3" t="n">
        <v>5</v>
      </c>
      <c r="O181" s="1" t="n"/>
      <c r="P181" s="1" t="n"/>
      <c r="Q181" s="1" t="n"/>
      <c r="R181" s="1" t="n"/>
      <c r="S181" s="1" t="inlineStr">
        <is>
          <t>NY Stationary (stays in NY inventory)</t>
        </is>
      </c>
      <c r="T181" s="1" t="n"/>
      <c r="U181" s="3" t="n">
        <v>118</v>
      </c>
      <c r="V181" s="1">
        <f>IF($K181="To be purchased",COUNTIF($K$2:$K181,"To be purchased"),"")</f>
        <v/>
      </c>
    </row>
    <row r="182">
      <c r="A182" s="1" t="inlineStr">
        <is>
          <t>Wire, connector, cables &amp; crimps</t>
        </is>
      </c>
      <c r="B182" s="2" t="inlineStr">
        <is>
          <t>Ferrule - Wire End, 4 AWG</t>
        </is>
      </c>
      <c r="C182" s="2" t="inlineStr">
        <is>
          <t>13-I Crimps, Ferrules &amp; Lugs</t>
        </is>
      </c>
      <c r="D182" s="1" t="inlineStr">
        <is>
          <t>Badri</t>
        </is>
      </c>
      <c r="E182" s="1" t="inlineStr">
        <is>
          <t>12</t>
        </is>
      </c>
      <c r="F182" s="1" t="inlineStr">
        <is>
          <t>India</t>
        </is>
      </c>
      <c r="G182" s="1" t="n"/>
      <c r="H182" s="1" t="inlineStr">
        <is>
          <t>No</t>
        </is>
      </c>
      <c r="I182" s="1" t="n"/>
      <c r="J182" s="1" t="n"/>
      <c r="K182" s="1" t="inlineStr">
        <is>
          <t>In stock</t>
        </is>
      </c>
      <c r="L182" s="3" t="n">
        <v>13</v>
      </c>
      <c r="M182" s="4" t="b">
        <v>0</v>
      </c>
      <c r="N182" s="3" t="n">
        <v>5</v>
      </c>
      <c r="O182" s="1" t="n"/>
      <c r="P182" s="1" t="n"/>
      <c r="Q182" s="1" t="n"/>
      <c r="R182" s="1" t="n"/>
      <c r="S182" s="1" t="inlineStr">
        <is>
          <t>Mobile (travels with robot)</t>
        </is>
      </c>
      <c r="T182" s="1" t="n"/>
      <c r="U182" s="3" t="n">
        <v>169</v>
      </c>
      <c r="V182" s="1">
        <f>IF($K182="To be purchased",COUNTIF($K$2:$K182,"To be purchased"),"")</f>
        <v/>
      </c>
    </row>
    <row r="183">
      <c r="A183" s="1" t="inlineStr">
        <is>
          <t>Wire, connector, cables &amp; crimps</t>
        </is>
      </c>
      <c r="B183" s="2" t="inlineStr">
        <is>
          <t>Ferrule - Wire End, 6 AWG</t>
        </is>
      </c>
      <c r="C183" s="2" t="inlineStr">
        <is>
          <t>13-I Crimps, Ferrules &amp; Lugs</t>
        </is>
      </c>
      <c r="D183" s="1" t="inlineStr">
        <is>
          <t>Badri</t>
        </is>
      </c>
      <c r="E183" s="1" t="inlineStr">
        <is>
          <t>12</t>
        </is>
      </c>
      <c r="F183" s="1" t="inlineStr">
        <is>
          <t>India</t>
        </is>
      </c>
      <c r="G183" s="1" t="n"/>
      <c r="H183" s="1" t="inlineStr">
        <is>
          <t>No</t>
        </is>
      </c>
      <c r="I183" s="1" t="n"/>
      <c r="J183" s="1" t="n"/>
      <c r="K183" s="1" t="inlineStr">
        <is>
          <t>In stock</t>
        </is>
      </c>
      <c r="L183" s="3" t="n">
        <v>13</v>
      </c>
      <c r="M183" s="4" t="b">
        <v>0</v>
      </c>
      <c r="N183" s="3" t="n">
        <v>5</v>
      </c>
      <c r="O183" s="1" t="n"/>
      <c r="P183" s="1" t="n"/>
      <c r="Q183" s="1" t="n"/>
      <c r="R183" s="1" t="n"/>
      <c r="S183" s="1" t="inlineStr">
        <is>
          <t>Mobile (travels with robot)</t>
        </is>
      </c>
      <c r="T183" s="1" t="n"/>
      <c r="U183" s="3" t="n">
        <v>170</v>
      </c>
      <c r="V183" s="1">
        <f>IF($K183="To be purchased",COUNTIF($K$2:$K183,"To be purchased"),"")</f>
        <v/>
      </c>
    </row>
    <row r="184">
      <c r="A184" s="1" t="inlineStr">
        <is>
          <t>Wire, connector, cables &amp; crimps</t>
        </is>
      </c>
      <c r="B184" s="2" t="inlineStr">
        <is>
          <t>Ferrule - Wire End, 8 AWG</t>
        </is>
      </c>
      <c r="C184" s="2" t="inlineStr">
        <is>
          <t>13-I Crimps, Ferrules &amp; Lugs</t>
        </is>
      </c>
      <c r="D184" s="1" t="inlineStr">
        <is>
          <t>Badri</t>
        </is>
      </c>
      <c r="E184" s="1" t="inlineStr">
        <is>
          <t>12</t>
        </is>
      </c>
      <c r="F184" s="1" t="inlineStr">
        <is>
          <t>India</t>
        </is>
      </c>
      <c r="G184" s="1" t="n"/>
      <c r="H184" s="1" t="inlineStr">
        <is>
          <t>No</t>
        </is>
      </c>
      <c r="I184" s="1" t="n"/>
      <c r="J184" s="1" t="n"/>
      <c r="K184" s="1" t="inlineStr">
        <is>
          <t>In stock</t>
        </is>
      </c>
      <c r="L184" s="3" t="n">
        <v>13</v>
      </c>
      <c r="M184" s="4" t="b">
        <v>0</v>
      </c>
      <c r="N184" s="3" t="n">
        <v>5</v>
      </c>
      <c r="O184" s="1" t="n"/>
      <c r="P184" s="1" t="n"/>
      <c r="Q184" s="1" t="n"/>
      <c r="R184" s="1" t="n"/>
      <c r="S184" s="1" t="inlineStr">
        <is>
          <t>Mobile (travels with robot)</t>
        </is>
      </c>
      <c r="T184" s="1" t="n"/>
      <c r="U184" s="3" t="n">
        <v>171</v>
      </c>
      <c r="V184" s="1">
        <f>IF($K184="To be purchased",COUNTIF($K$2:$K184,"To be purchased"),"")</f>
        <v/>
      </c>
    </row>
    <row r="185">
      <c r="A185" s="1" t="inlineStr">
        <is>
          <t>Wire, connector, cables &amp; crimps</t>
        </is>
      </c>
      <c r="B185" s="2" t="inlineStr">
        <is>
          <t>Ferrule - Wire End, 10 AWG</t>
        </is>
      </c>
      <c r="C185" s="2" t="inlineStr">
        <is>
          <t>13-I Crimps, Ferrules &amp; Lugs</t>
        </is>
      </c>
      <c r="D185" s="1" t="inlineStr">
        <is>
          <t>Badri</t>
        </is>
      </c>
      <c r="E185" s="7" t="inlineStr">
        <is>
          <t>12</t>
        </is>
      </c>
      <c r="F185" s="1" t="inlineStr">
        <is>
          <t>India</t>
        </is>
      </c>
      <c r="G185" s="1" t="n"/>
      <c r="H185" s="1" t="inlineStr">
        <is>
          <t>No</t>
        </is>
      </c>
      <c r="I185" s="1" t="n"/>
      <c r="J185" s="1" t="n"/>
      <c r="K185" s="1" t="inlineStr">
        <is>
          <t>In stock</t>
        </is>
      </c>
      <c r="L185" s="3" t="n">
        <v>13</v>
      </c>
      <c r="M185" s="4" t="b">
        <v>0</v>
      </c>
      <c r="N185" s="3" t="n">
        <v>5</v>
      </c>
      <c r="O185" s="1" t="n"/>
      <c r="P185" s="1" t="n"/>
      <c r="Q185" s="1" t="n"/>
      <c r="R185" s="1" t="n"/>
      <c r="S185" s="1" t="inlineStr">
        <is>
          <t>Mobile (travels with robot)</t>
        </is>
      </c>
      <c r="T185" s="1" t="n"/>
      <c r="U185" s="3" t="n">
        <v>172</v>
      </c>
      <c r="V185" s="1">
        <f>IF($K185="To be purchased",COUNTIF($K$2:$K185,"To be purchased"),"")</f>
        <v/>
      </c>
    </row>
    <row r="186">
      <c r="A186" s="1" t="inlineStr">
        <is>
          <t>Wire, connector, cables &amp; crimps</t>
        </is>
      </c>
      <c r="B186" s="2" t="inlineStr">
        <is>
          <t>Ferrule - Wire End, 12 AWG</t>
        </is>
      </c>
      <c r="C186" s="2" t="inlineStr">
        <is>
          <t>13-I Crimps, Ferrules &amp; Lugs</t>
        </is>
      </c>
      <c r="D186" s="1" t="inlineStr">
        <is>
          <t>Badri</t>
        </is>
      </c>
      <c r="E186" s="7" t="inlineStr">
        <is>
          <t>12</t>
        </is>
      </c>
      <c r="F186" s="1" t="inlineStr">
        <is>
          <t>India</t>
        </is>
      </c>
      <c r="G186" s="1" t="n"/>
      <c r="H186" s="1" t="inlineStr">
        <is>
          <t>No</t>
        </is>
      </c>
      <c r="I186" s="1" t="n"/>
      <c r="J186" s="1" t="n"/>
      <c r="K186" s="1" t="inlineStr">
        <is>
          <t>In stock</t>
        </is>
      </c>
      <c r="L186" s="3" t="n">
        <v>13</v>
      </c>
      <c r="M186" s="4" t="b">
        <v>0</v>
      </c>
      <c r="N186" s="3" t="n">
        <v>5</v>
      </c>
      <c r="O186" s="1" t="n"/>
      <c r="P186" s="1" t="n"/>
      <c r="Q186" s="1" t="n"/>
      <c r="R186" s="1" t="n"/>
      <c r="S186" s="1" t="inlineStr">
        <is>
          <t>Mobile (travels with robot)</t>
        </is>
      </c>
      <c r="T186" s="1" t="n"/>
      <c r="U186" s="3" t="n">
        <v>173</v>
      </c>
      <c r="V186" s="1">
        <f>IF($K186="To be purchased",COUNTIF($K$2:$K186,"To be purchased"),"")</f>
        <v/>
      </c>
    </row>
    <row r="187">
      <c r="A187" s="1" t="inlineStr">
        <is>
          <t>Wire, connector, cables &amp; crimps</t>
        </is>
      </c>
      <c r="B187" s="2" t="inlineStr">
        <is>
          <t>Ferrule - Wire End, 14 AWG</t>
        </is>
      </c>
      <c r="C187" s="2" t="inlineStr">
        <is>
          <t>13-I Crimps, Ferrules &amp; Lugs</t>
        </is>
      </c>
      <c r="D187" s="1" t="inlineStr">
        <is>
          <t>Badri</t>
        </is>
      </c>
      <c r="E187" s="7" t="inlineStr">
        <is>
          <t>30</t>
        </is>
      </c>
      <c r="F187" s="1" t="inlineStr">
        <is>
          <t>India</t>
        </is>
      </c>
      <c r="G187" s="1" t="n"/>
      <c r="H187" s="1" t="inlineStr">
        <is>
          <t>No</t>
        </is>
      </c>
      <c r="I187" s="1" t="n"/>
      <c r="J187" s="1" t="n"/>
      <c r="K187" s="1" t="inlineStr">
        <is>
          <t>In stock</t>
        </is>
      </c>
      <c r="L187" s="3" t="n">
        <v>13</v>
      </c>
      <c r="M187" s="4" t="b">
        <v>0</v>
      </c>
      <c r="N187" s="3" t="n">
        <v>5</v>
      </c>
      <c r="O187" s="1" t="n"/>
      <c r="P187" s="1" t="n"/>
      <c r="Q187" s="1" t="n"/>
      <c r="R187" s="1" t="n"/>
      <c r="S187" s="1" t="inlineStr">
        <is>
          <t>Mobile (travels with robot)</t>
        </is>
      </c>
      <c r="T187" s="1" t="n"/>
      <c r="U187" s="3" t="n">
        <v>174</v>
      </c>
      <c r="V187" s="1">
        <f>IF($K187="To be purchased",COUNTIF($K$2:$K187,"To be purchased"),"")</f>
        <v/>
      </c>
    </row>
    <row r="188">
      <c r="A188" s="1" t="inlineStr">
        <is>
          <t>Wire, connector, cables &amp; crimps</t>
        </is>
      </c>
      <c r="B188" s="2" t="inlineStr">
        <is>
          <t>Ferrule - Wire End, 16 AWG</t>
        </is>
      </c>
      <c r="C188" s="2" t="inlineStr">
        <is>
          <t>13-I Crimps, Ferrules &amp; Lugs</t>
        </is>
      </c>
      <c r="D188" s="1" t="inlineStr">
        <is>
          <t>Badri</t>
        </is>
      </c>
      <c r="E188" s="7" t="inlineStr">
        <is>
          <t>30</t>
        </is>
      </c>
      <c r="F188" s="1" t="inlineStr">
        <is>
          <t>India</t>
        </is>
      </c>
      <c r="G188" s="1" t="n"/>
      <c r="H188" s="1" t="inlineStr">
        <is>
          <t>No</t>
        </is>
      </c>
      <c r="I188" s="1" t="n"/>
      <c r="J188" s="1" t="n"/>
      <c r="K188" s="1" t="inlineStr">
        <is>
          <t>In stock</t>
        </is>
      </c>
      <c r="L188" s="3" t="n">
        <v>13</v>
      </c>
      <c r="M188" s="4" t="b">
        <v>0</v>
      </c>
      <c r="N188" s="3" t="n">
        <v>5</v>
      </c>
      <c r="O188" s="1" t="n"/>
      <c r="P188" s="1" t="n"/>
      <c r="Q188" s="1" t="n"/>
      <c r="R188" s="1" t="n"/>
      <c r="S188" s="1" t="inlineStr">
        <is>
          <t>Mobile (travels with robot)</t>
        </is>
      </c>
      <c r="T188" s="1" t="n"/>
      <c r="U188" s="3" t="n">
        <v>175</v>
      </c>
      <c r="V188" s="1">
        <f>IF($K188="To be purchased",COUNTIF($K$2:$K188,"To be purchased"),"")</f>
        <v/>
      </c>
    </row>
    <row r="189">
      <c r="A189" s="1" t="inlineStr">
        <is>
          <t>Wire, connector, cables &amp; crimps</t>
        </is>
      </c>
      <c r="B189" s="2" t="inlineStr">
        <is>
          <t>Ferrule - Wire End, 18 AWG</t>
        </is>
      </c>
      <c r="C189" s="2" t="inlineStr">
        <is>
          <t>13-I Crimps, Ferrules &amp; Lugs</t>
        </is>
      </c>
      <c r="D189" s="1" t="inlineStr">
        <is>
          <t>Badri</t>
        </is>
      </c>
      <c r="E189" s="7" t="inlineStr">
        <is>
          <t>30</t>
        </is>
      </c>
      <c r="F189" s="1" t="inlineStr">
        <is>
          <t>India</t>
        </is>
      </c>
      <c r="G189" s="1" t="n"/>
      <c r="H189" s="1" t="inlineStr">
        <is>
          <t>No</t>
        </is>
      </c>
      <c r="I189" s="1" t="n"/>
      <c r="J189" s="1" t="n"/>
      <c r="K189" s="1" t="inlineStr">
        <is>
          <t>In stock</t>
        </is>
      </c>
      <c r="L189" s="3" t="n">
        <v>13</v>
      </c>
      <c r="M189" s="4" t="b">
        <v>0</v>
      </c>
      <c r="N189" s="3" t="n">
        <v>5</v>
      </c>
      <c r="O189" s="1" t="n"/>
      <c r="P189" s="1" t="n"/>
      <c r="Q189" s="1" t="n"/>
      <c r="R189" s="1" t="n"/>
      <c r="S189" s="1" t="inlineStr">
        <is>
          <t>Mobile (travels with robot)</t>
        </is>
      </c>
      <c r="T189" s="1" t="n"/>
      <c r="U189" s="3" t="n">
        <v>176</v>
      </c>
      <c r="V189" s="1">
        <f>IF($K189="To be purchased",COUNTIF($K$2:$K189,"To be purchased"),"")</f>
        <v/>
      </c>
    </row>
    <row r="190">
      <c r="A190" s="1" t="inlineStr">
        <is>
          <t>Wire, connector, cables &amp; crimps</t>
        </is>
      </c>
      <c r="B190" s="2" t="inlineStr">
        <is>
          <t>Ferrule - Wire End, 20 AWG</t>
        </is>
      </c>
      <c r="C190" s="2" t="inlineStr">
        <is>
          <t>13-I Crimps, Ferrules &amp; Lugs</t>
        </is>
      </c>
      <c r="D190" s="1" t="inlineStr">
        <is>
          <t>Badri</t>
        </is>
      </c>
      <c r="E190" s="7" t="inlineStr">
        <is>
          <t>30</t>
        </is>
      </c>
      <c r="F190" s="1" t="inlineStr">
        <is>
          <t>India</t>
        </is>
      </c>
      <c r="G190" s="1" t="n"/>
      <c r="H190" s="1" t="inlineStr">
        <is>
          <t>No</t>
        </is>
      </c>
      <c r="I190" s="1" t="n"/>
      <c r="J190" s="1" t="n"/>
      <c r="K190" s="1" t="inlineStr">
        <is>
          <t>In stock</t>
        </is>
      </c>
      <c r="L190" s="3" t="n">
        <v>13</v>
      </c>
      <c r="M190" s="4" t="b">
        <v>0</v>
      </c>
      <c r="N190" s="3" t="n">
        <v>5</v>
      </c>
      <c r="O190" s="1" t="n"/>
      <c r="P190" s="1" t="n"/>
      <c r="Q190" s="1" t="n"/>
      <c r="R190" s="1" t="n"/>
      <c r="S190" s="1" t="inlineStr">
        <is>
          <t>Mobile (travels with robot)</t>
        </is>
      </c>
      <c r="T190" s="1" t="n"/>
      <c r="U190" s="3" t="n">
        <v>177</v>
      </c>
      <c r="V190" s="1">
        <f>IF($K190="To be purchased",COUNTIF($K$2:$K190,"To be purchased"),"")</f>
        <v/>
      </c>
    </row>
    <row r="191">
      <c r="A191" s="1" t="inlineStr">
        <is>
          <t>Wire, connector, cables &amp; crimps</t>
        </is>
      </c>
      <c r="B191" s="2" t="inlineStr">
        <is>
          <t>Ferrule - Wire End, 22 AWG</t>
        </is>
      </c>
      <c r="C191" s="2" t="inlineStr">
        <is>
          <t>13-I Crimps, Ferrules &amp; Lugs</t>
        </is>
      </c>
      <c r="D191" s="1" t="inlineStr">
        <is>
          <t>Badri</t>
        </is>
      </c>
      <c r="E191" s="7" t="inlineStr">
        <is>
          <t>30</t>
        </is>
      </c>
      <c r="F191" s="1" t="inlineStr">
        <is>
          <t>India</t>
        </is>
      </c>
      <c r="G191" s="1" t="n"/>
      <c r="H191" s="1" t="inlineStr">
        <is>
          <t>No</t>
        </is>
      </c>
      <c r="I191" s="1" t="n"/>
      <c r="J191" s="1" t="n"/>
      <c r="K191" s="1" t="inlineStr">
        <is>
          <t>In stock</t>
        </is>
      </c>
      <c r="L191" s="3" t="n">
        <v>13</v>
      </c>
      <c r="M191" s="4" t="b">
        <v>0</v>
      </c>
      <c r="N191" s="3" t="n">
        <v>5</v>
      </c>
      <c r="O191" s="1" t="n"/>
      <c r="P191" s="1" t="n"/>
      <c r="Q191" s="1" t="n"/>
      <c r="R191" s="1" t="n"/>
      <c r="S191" s="1" t="inlineStr">
        <is>
          <t>Mobile (travels with robot)</t>
        </is>
      </c>
      <c r="T191" s="1" t="n"/>
      <c r="U191" s="3" t="n">
        <v>178</v>
      </c>
      <c r="V191" s="1">
        <f>IF($K191="To be purchased",COUNTIF($K$2:$K191,"To be purchased"),"")</f>
        <v/>
      </c>
    </row>
    <row r="192">
      <c r="A192" s="1" t="inlineStr">
        <is>
          <t>Wire, connector, cables &amp; crimps</t>
        </is>
      </c>
      <c r="B192" s="2" t="inlineStr">
        <is>
          <t>Ferrule - Wire End, 24 AWG</t>
        </is>
      </c>
      <c r="C192" s="2" t="inlineStr">
        <is>
          <t>13-I Crimps, Ferrules &amp; Lugs</t>
        </is>
      </c>
      <c r="D192" s="1" t="inlineStr">
        <is>
          <t>Badri</t>
        </is>
      </c>
      <c r="E192" s="7" t="inlineStr">
        <is>
          <t>30</t>
        </is>
      </c>
      <c r="F192" s="1" t="inlineStr">
        <is>
          <t>India</t>
        </is>
      </c>
      <c r="G192" s="1" t="n"/>
      <c r="H192" s="1" t="inlineStr">
        <is>
          <t>No</t>
        </is>
      </c>
      <c r="I192" s="1" t="n"/>
      <c r="J192" s="1" t="n"/>
      <c r="K192" s="1" t="inlineStr">
        <is>
          <t>In stock</t>
        </is>
      </c>
      <c r="L192" s="3" t="n">
        <v>13</v>
      </c>
      <c r="M192" s="4" t="b">
        <v>0</v>
      </c>
      <c r="N192" s="3" t="n">
        <v>5</v>
      </c>
      <c r="O192" s="1" t="n"/>
      <c r="P192" s="1" t="n"/>
      <c r="Q192" s="1" t="n"/>
      <c r="R192" s="1" t="n"/>
      <c r="S192" s="1" t="inlineStr">
        <is>
          <t>Mobile (travels with robot)</t>
        </is>
      </c>
      <c r="T192" s="1" t="n"/>
      <c r="U192" s="3" t="n">
        <v>179</v>
      </c>
      <c r="V192" s="1">
        <f>IF($K192="To be purchased",COUNTIF($K$2:$K192,"To be purchased"),"")</f>
        <v/>
      </c>
    </row>
    <row r="193">
      <c r="A193" s="1" t="inlineStr">
        <is>
          <t>Wire, connector, cables &amp; crimps</t>
        </is>
      </c>
      <c r="B193" s="2" t="inlineStr">
        <is>
          <t>Lug - Spade, 16 AWG</t>
        </is>
      </c>
      <c r="C193" s="2" t="inlineStr">
        <is>
          <t>13-I Crimps, Ferrules &amp; Lugs</t>
        </is>
      </c>
      <c r="D193" s="1" t="inlineStr">
        <is>
          <t>Badri</t>
        </is>
      </c>
      <c r="E193" s="7" t="inlineStr">
        <is>
          <t>20</t>
        </is>
      </c>
      <c r="F193" s="1" t="inlineStr">
        <is>
          <t>India</t>
        </is>
      </c>
      <c r="G193" s="1" t="n"/>
      <c r="H193" s="1" t="inlineStr">
        <is>
          <t>No</t>
        </is>
      </c>
      <c r="I193" s="1" t="n"/>
      <c r="J193" s="1" t="n"/>
      <c r="K193" s="1" t="inlineStr">
        <is>
          <t>In stock</t>
        </is>
      </c>
      <c r="L193" s="3" t="n">
        <v>13</v>
      </c>
      <c r="M193" s="4" t="b">
        <v>0</v>
      </c>
      <c r="N193" s="3" t="n">
        <v>5</v>
      </c>
      <c r="O193" s="1" t="n"/>
      <c r="P193" s="1" t="n"/>
      <c r="Q193" s="1" t="n"/>
      <c r="R193" s="1" t="n"/>
      <c r="S193" s="1" t="inlineStr">
        <is>
          <t>Mobile (travels with robot)</t>
        </is>
      </c>
      <c r="T193" s="1" t="n"/>
      <c r="U193" s="3" t="n">
        <v>180</v>
      </c>
      <c r="V193" s="1">
        <f>IF($K193="To be purchased",COUNTIF($K$2:$K193,"To be purchased"),"")</f>
        <v/>
      </c>
    </row>
    <row r="194">
      <c r="A194" s="1" t="inlineStr">
        <is>
          <t>Wire, connector, cables &amp; crimps</t>
        </is>
      </c>
      <c r="B194" s="2" t="inlineStr">
        <is>
          <t>Lug - Spade, 14 AWG</t>
        </is>
      </c>
      <c r="C194" s="2" t="inlineStr">
        <is>
          <t>13-I Crimps, Ferrules &amp; Lugs</t>
        </is>
      </c>
      <c r="D194" s="1" t="inlineStr">
        <is>
          <t>Badri</t>
        </is>
      </c>
      <c r="E194" s="7" t="inlineStr">
        <is>
          <t>20</t>
        </is>
      </c>
      <c r="F194" s="1" t="inlineStr">
        <is>
          <t>India</t>
        </is>
      </c>
      <c r="G194" s="1" t="n"/>
      <c r="H194" s="1" t="inlineStr">
        <is>
          <t>No</t>
        </is>
      </c>
      <c r="I194" s="1" t="n"/>
      <c r="J194" s="1" t="n"/>
      <c r="K194" s="1" t="inlineStr">
        <is>
          <t>In stock</t>
        </is>
      </c>
      <c r="L194" s="3" t="n">
        <v>13</v>
      </c>
      <c r="M194" s="4" t="b">
        <v>0</v>
      </c>
      <c r="N194" s="3" t="n">
        <v>5</v>
      </c>
      <c r="O194" s="1" t="n"/>
      <c r="P194" s="1" t="n"/>
      <c r="Q194" s="1" t="n"/>
      <c r="R194" s="1" t="n"/>
      <c r="S194" s="1" t="inlineStr">
        <is>
          <t>Mobile (travels with robot)</t>
        </is>
      </c>
      <c r="T194" s="1" t="n"/>
      <c r="U194" s="3" t="n">
        <v>181</v>
      </c>
      <c r="V194" s="1">
        <f>IF($K194="To be purchased",COUNTIF($K$2:$K194,"To be purchased"),"")</f>
        <v/>
      </c>
    </row>
    <row r="195">
      <c r="A195" s="1" t="inlineStr">
        <is>
          <t>Wire, connector, cables &amp; crimps</t>
        </is>
      </c>
      <c r="B195" s="2" t="inlineStr">
        <is>
          <t>Lug - Spade, 12 AWG</t>
        </is>
      </c>
      <c r="C195" s="2" t="inlineStr">
        <is>
          <t>13-I Crimps, Ferrules &amp; Lugs</t>
        </is>
      </c>
      <c r="D195" s="1" t="inlineStr">
        <is>
          <t>Badri</t>
        </is>
      </c>
      <c r="E195" s="7" t="inlineStr">
        <is>
          <t>20</t>
        </is>
      </c>
      <c r="F195" s="1" t="inlineStr">
        <is>
          <t>India</t>
        </is>
      </c>
      <c r="G195" s="1" t="n"/>
      <c r="H195" s="1" t="inlineStr">
        <is>
          <t>No</t>
        </is>
      </c>
      <c r="I195" s="1" t="n"/>
      <c r="J195" s="1" t="n"/>
      <c r="K195" s="1" t="inlineStr">
        <is>
          <t>In stock</t>
        </is>
      </c>
      <c r="L195" s="3" t="n">
        <v>13</v>
      </c>
      <c r="M195" s="4" t="b">
        <v>0</v>
      </c>
      <c r="N195" s="3" t="n">
        <v>5</v>
      </c>
      <c r="O195" s="1" t="n"/>
      <c r="P195" s="1" t="n"/>
      <c r="Q195" s="1" t="n"/>
      <c r="R195" s="1" t="n"/>
      <c r="S195" s="1" t="inlineStr">
        <is>
          <t>Mobile (travels with robot)</t>
        </is>
      </c>
      <c r="T195" s="1" t="n"/>
      <c r="U195" s="3" t="n">
        <v>182</v>
      </c>
      <c r="V195" s="1">
        <f>IF($K195="To be purchased",COUNTIF($K$2:$K195,"To be purchased"),"")</f>
        <v/>
      </c>
    </row>
    <row r="196">
      <c r="A196" s="1" t="inlineStr">
        <is>
          <t>Wire, connector, cables &amp; crimps</t>
        </is>
      </c>
      <c r="B196" s="2" t="inlineStr">
        <is>
          <t>Lug - Ring, 4 AWG, M8 stud</t>
        </is>
      </c>
      <c r="C196" s="2" t="inlineStr">
        <is>
          <t>13-I Crimps, Ferrules &amp; Lugs</t>
        </is>
      </c>
      <c r="D196" s="1" t="inlineStr">
        <is>
          <t>Badri</t>
        </is>
      </c>
      <c r="E196" s="7" t="inlineStr">
        <is>
          <t>30</t>
        </is>
      </c>
      <c r="F196" s="1" t="inlineStr">
        <is>
          <t>India</t>
        </is>
      </c>
      <c r="G196" s="1" t="n"/>
      <c r="H196" s="1" t="inlineStr">
        <is>
          <t>No</t>
        </is>
      </c>
      <c r="I196" s="1" t="n"/>
      <c r="J196" s="1" t="n"/>
      <c r="K196" s="1" t="inlineStr">
        <is>
          <t>PR Raised</t>
        </is>
      </c>
      <c r="L196" s="3" t="n">
        <v>13</v>
      </c>
      <c r="M196" s="4" t="b">
        <v>0</v>
      </c>
      <c r="N196" s="3" t="n">
        <v>5</v>
      </c>
      <c r="O196" s="1" t="n"/>
      <c r="P196" s="1" t="n"/>
      <c r="Q196" s="1" t="n"/>
      <c r="R196" s="1" t="n"/>
      <c r="S196" s="1" t="inlineStr">
        <is>
          <t>Mobile (travels with robot)</t>
        </is>
      </c>
      <c r="T196" s="1" t="n"/>
      <c r="U196" s="3" t="n">
        <v>183</v>
      </c>
      <c r="V196" s="1">
        <f>IF($K196="To be purchased",COUNTIF($K$2:$K196,"To be purchased"),"")</f>
        <v/>
      </c>
    </row>
    <row r="197">
      <c r="A197" s="1" t="inlineStr">
        <is>
          <t>Wire, connector, cables &amp; crimps</t>
        </is>
      </c>
      <c r="B197" s="2" t="inlineStr">
        <is>
          <t>Lug - Ring, 6 AWG, M8 stud</t>
        </is>
      </c>
      <c r="C197" s="2" t="inlineStr">
        <is>
          <t>13-I Crimps, Ferrules &amp; Lugs</t>
        </is>
      </c>
      <c r="D197" s="1" t="inlineStr">
        <is>
          <t>Badri</t>
        </is>
      </c>
      <c r="E197" s="7" t="inlineStr">
        <is>
          <t>30</t>
        </is>
      </c>
      <c r="F197" s="1" t="inlineStr">
        <is>
          <t>India</t>
        </is>
      </c>
      <c r="G197" s="1" t="n"/>
      <c r="H197" s="1" t="inlineStr">
        <is>
          <t>No</t>
        </is>
      </c>
      <c r="I197" s="1" t="n"/>
      <c r="J197" s="1" t="n"/>
      <c r="K197" s="1" t="inlineStr">
        <is>
          <t>PR Raised</t>
        </is>
      </c>
      <c r="L197" s="3" t="n">
        <v>13</v>
      </c>
      <c r="M197" s="4" t="b">
        <v>0</v>
      </c>
      <c r="N197" s="3" t="n">
        <v>5</v>
      </c>
      <c r="O197" s="1" t="n"/>
      <c r="P197" s="1" t="n"/>
      <c r="Q197" s="1" t="n"/>
      <c r="R197" s="1" t="n"/>
      <c r="S197" s="1" t="inlineStr">
        <is>
          <t>Mobile (travels with robot)</t>
        </is>
      </c>
      <c r="T197" s="1" t="n"/>
      <c r="U197" s="3" t="n">
        <v>184</v>
      </c>
      <c r="V197" s="1">
        <f>IF($K197="To be purchased",COUNTIF($K$2:$K197,"To be purchased"),"")</f>
        <v/>
      </c>
    </row>
    <row r="198">
      <c r="A198" s="1" t="inlineStr">
        <is>
          <t>Wire, connector, cables &amp; crimps</t>
        </is>
      </c>
      <c r="B198" s="2" t="inlineStr">
        <is>
          <t>Lug - Ring, 12 AWG, M8 stud</t>
        </is>
      </c>
      <c r="C198" s="2" t="inlineStr">
        <is>
          <t>13-I Crimps, Ferrules &amp; Lugs</t>
        </is>
      </c>
      <c r="D198" s="1" t="inlineStr">
        <is>
          <t>Badri</t>
        </is>
      </c>
      <c r="E198" s="7" t="inlineStr">
        <is>
          <t>20</t>
        </is>
      </c>
      <c r="F198" s="1" t="inlineStr">
        <is>
          <t>India</t>
        </is>
      </c>
      <c r="G198" s="1" t="n"/>
      <c r="H198" s="1" t="inlineStr">
        <is>
          <t>No</t>
        </is>
      </c>
      <c r="I198" s="1" t="n"/>
      <c r="J198" s="1" t="n"/>
      <c r="K198" s="1" t="inlineStr">
        <is>
          <t>PR Raised</t>
        </is>
      </c>
      <c r="L198" s="3" t="n">
        <v>13</v>
      </c>
      <c r="M198" s="4" t="b">
        <v>0</v>
      </c>
      <c r="N198" s="3" t="n">
        <v>5</v>
      </c>
      <c r="O198" s="1" t="n"/>
      <c r="P198" s="1" t="n"/>
      <c r="Q198" s="1" t="n"/>
      <c r="R198" s="1" t="n"/>
      <c r="S198" s="1" t="inlineStr">
        <is>
          <t>Mobile (travels with robot)</t>
        </is>
      </c>
      <c r="T198" s="1" t="n"/>
      <c r="U198" s="3" t="n">
        <v>185</v>
      </c>
      <c r="V198" s="1">
        <f>IF($K198="To be purchased",COUNTIF($K$2:$K198,"To be purchased"),"")</f>
        <v/>
      </c>
    </row>
    <row r="199">
      <c r="A199" s="1" t="inlineStr">
        <is>
          <t>Wire, connector, cables &amp; crimps</t>
        </is>
      </c>
      <c r="B199" s="2" t="inlineStr">
        <is>
          <t>Lug - Ring, 14 AWG, M8 stud</t>
        </is>
      </c>
      <c r="C199" s="2" t="inlineStr">
        <is>
          <t>13-I Crimps, Ferrules &amp; Lugs</t>
        </is>
      </c>
      <c r="D199" s="1" t="inlineStr">
        <is>
          <t>Badri</t>
        </is>
      </c>
      <c r="E199" s="7" t="inlineStr">
        <is>
          <t>20</t>
        </is>
      </c>
      <c r="F199" s="1" t="inlineStr">
        <is>
          <t>India</t>
        </is>
      </c>
      <c r="G199" s="1" t="n"/>
      <c r="H199" s="1" t="inlineStr">
        <is>
          <t>No</t>
        </is>
      </c>
      <c r="I199" s="1" t="n"/>
      <c r="J199" s="1" t="n"/>
      <c r="K199" s="1" t="inlineStr">
        <is>
          <t>PR Raised</t>
        </is>
      </c>
      <c r="L199" s="3" t="n">
        <v>13</v>
      </c>
      <c r="M199" s="4" t="b">
        <v>0</v>
      </c>
      <c r="N199" s="3" t="n">
        <v>5</v>
      </c>
      <c r="O199" s="1" t="n"/>
      <c r="P199" s="1" t="n"/>
      <c r="Q199" s="1" t="n"/>
      <c r="R199" s="1" t="n"/>
      <c r="S199" s="1" t="inlineStr">
        <is>
          <t>Mobile (travels with robot)</t>
        </is>
      </c>
      <c r="T199" s="1" t="n"/>
      <c r="U199" s="3" t="n">
        <v>186</v>
      </c>
      <c r="V199" s="1">
        <f>IF($K199="To be purchased",COUNTIF($K$2:$K199,"To be purchased"),"")</f>
        <v/>
      </c>
    </row>
    <row r="200">
      <c r="A200" s="1" t="inlineStr">
        <is>
          <t>Wire, connector, cables &amp; crimps</t>
        </is>
      </c>
      <c r="B200" s="2" t="inlineStr">
        <is>
          <t>Lug - Ring, 14 AWG, M6 stud</t>
        </is>
      </c>
      <c r="C200" s="2" t="inlineStr">
        <is>
          <t>13-I Crimps, Ferrules &amp; Lugs</t>
        </is>
      </c>
      <c r="D200" s="1" t="inlineStr">
        <is>
          <t>Badri</t>
        </is>
      </c>
      <c r="E200" s="7" t="inlineStr">
        <is>
          <t>20</t>
        </is>
      </c>
      <c r="F200" s="1" t="inlineStr">
        <is>
          <t>India</t>
        </is>
      </c>
      <c r="G200" s="1" t="n"/>
      <c r="H200" s="1" t="inlineStr">
        <is>
          <t>No</t>
        </is>
      </c>
      <c r="I200" s="1" t="n"/>
      <c r="J200" s="1" t="n"/>
      <c r="K200" s="1" t="inlineStr">
        <is>
          <t>PR Raised</t>
        </is>
      </c>
      <c r="L200" s="3" t="n">
        <v>13</v>
      </c>
      <c r="M200" s="4" t="b">
        <v>0</v>
      </c>
      <c r="N200" s="3" t="n">
        <v>5</v>
      </c>
      <c r="O200" s="1" t="n"/>
      <c r="P200" s="1" t="n"/>
      <c r="Q200" s="1" t="n"/>
      <c r="R200" s="1" t="n"/>
      <c r="S200" s="1" t="inlineStr">
        <is>
          <t>Mobile (travels with robot)</t>
        </is>
      </c>
      <c r="T200" s="1" t="n"/>
      <c r="U200" s="3" t="n">
        <v>187</v>
      </c>
      <c r="V200" s="1">
        <f>IF($K200="To be purchased",COUNTIF($K$2:$K200,"To be purchased"),"")</f>
        <v/>
      </c>
    </row>
    <row r="201">
      <c r="A201" s="1" t="inlineStr">
        <is>
          <t>Wire, connector, cables &amp; crimps</t>
        </is>
      </c>
      <c r="B201" s="2" t="inlineStr">
        <is>
          <t>Lug - Ring, 22 AWG, M8 stud</t>
        </is>
      </c>
      <c r="C201" s="2" t="inlineStr">
        <is>
          <t>13-I Crimps, Ferrules &amp; Lugs</t>
        </is>
      </c>
      <c r="D201" s="1" t="inlineStr">
        <is>
          <t>Badri</t>
        </is>
      </c>
      <c r="E201" s="7" t="inlineStr">
        <is>
          <t>20</t>
        </is>
      </c>
      <c r="F201" s="1" t="inlineStr">
        <is>
          <t>India</t>
        </is>
      </c>
      <c r="G201" s="1" t="n"/>
      <c r="H201" s="1" t="inlineStr">
        <is>
          <t>No</t>
        </is>
      </c>
      <c r="I201" s="1" t="n"/>
      <c r="J201" s="1" t="n"/>
      <c r="K201" s="1" t="inlineStr">
        <is>
          <t>PR Raised</t>
        </is>
      </c>
      <c r="L201" s="3" t="n">
        <v>13</v>
      </c>
      <c r="M201" s="4" t="b">
        <v>0</v>
      </c>
      <c r="N201" s="3" t="n">
        <v>5</v>
      </c>
      <c r="O201" s="1" t="n"/>
      <c r="P201" s="1" t="n"/>
      <c r="Q201" s="1" t="n"/>
      <c r="R201" s="1" t="n"/>
      <c r="S201" s="1" t="inlineStr">
        <is>
          <t>Mobile (travels with robot)</t>
        </is>
      </c>
      <c r="T201" s="1" t="n"/>
      <c r="U201" s="3" t="n">
        <v>188</v>
      </c>
      <c r="V201" s="1">
        <f>IF($K201="To be purchased",COUNTIF($K$2:$K201,"To be purchased"),"")</f>
        <v/>
      </c>
    </row>
    <row r="202">
      <c r="A202" s="1" t="inlineStr">
        <is>
          <t>Wire, connector, cables &amp; crimps</t>
        </is>
      </c>
      <c r="B202" s="2" t="inlineStr">
        <is>
          <t>Lug - Ring, 22 AWG, M3 stud</t>
        </is>
      </c>
      <c r="C202" s="2" t="inlineStr">
        <is>
          <t>13-I Crimps, Ferrules &amp; Lugs</t>
        </is>
      </c>
      <c r="D202" s="1" t="inlineStr">
        <is>
          <t>Badri</t>
        </is>
      </c>
      <c r="E202" s="7" t="inlineStr">
        <is>
          <t>20</t>
        </is>
      </c>
      <c r="F202" s="1" t="inlineStr">
        <is>
          <t>India</t>
        </is>
      </c>
      <c r="G202" s="1" t="n"/>
      <c r="H202" s="1" t="inlineStr">
        <is>
          <t>No</t>
        </is>
      </c>
      <c r="I202" s="1" t="n"/>
      <c r="J202" s="1" t="n"/>
      <c r="K202" s="1" t="inlineStr">
        <is>
          <t>PR Raised</t>
        </is>
      </c>
      <c r="L202" s="3" t="n">
        <v>13</v>
      </c>
      <c r="M202" s="4" t="b">
        <v>0</v>
      </c>
      <c r="N202" s="3" t="n">
        <v>5</v>
      </c>
      <c r="O202" s="1" t="n"/>
      <c r="P202" s="1" t="n"/>
      <c r="Q202" s="1" t="n"/>
      <c r="R202" s="1" t="n"/>
      <c r="S202" s="1" t="inlineStr">
        <is>
          <t>Mobile (travels with robot)</t>
        </is>
      </c>
      <c r="T202" s="1" t="n"/>
      <c r="U202" s="3" t="n">
        <v>189</v>
      </c>
      <c r="V202" s="1">
        <f>IF($K202="To be purchased",COUNTIF($K$2:$K202,"To be purchased"),"")</f>
        <v/>
      </c>
    </row>
    <row r="203">
      <c r="A203" s="1" t="inlineStr">
        <is>
          <t>Bringup Kit</t>
        </is>
      </c>
      <c r="B203" s="2" t="inlineStr">
        <is>
          <t>Battery - Li-SOCl2 AA, ER14505 - driver encoder (Spare)</t>
        </is>
      </c>
      <c r="C203" s="2" t="inlineStr">
        <is>
          <t>2-E Electronics &amp; Cables</t>
        </is>
      </c>
      <c r="D203" s="1" t="inlineStr">
        <is>
          <t>Badri</t>
        </is>
      </c>
      <c r="E203" s="1" t="n">
        <v>4</v>
      </c>
      <c r="F203" s="1" t="inlineStr">
        <is>
          <t>India</t>
        </is>
      </c>
      <c r="G203" s="1" t="n"/>
      <c r="H203" s="1" t="inlineStr">
        <is>
          <t>No</t>
        </is>
      </c>
      <c r="I203" s="1" t="n"/>
      <c r="J203" s="1" t="n"/>
      <c r="K203" s="1" t="inlineStr">
        <is>
          <t>IQC Stage</t>
        </is>
      </c>
      <c r="L203" s="3" t="n">
        <v>2</v>
      </c>
      <c r="M203" s="4" t="b">
        <v>0</v>
      </c>
      <c r="N203" s="3" t="n">
        <v>1</v>
      </c>
      <c r="O203" s="1" t="n"/>
      <c r="P203" s="1" t="n"/>
      <c r="Q203" s="1" t="n"/>
      <c r="R203" s="1" t="n"/>
      <c r="S203" s="1" t="n"/>
      <c r="T203" s="1" t="n"/>
      <c r="U203" s="1" t="n"/>
      <c r="V203" s="1" t="n"/>
    </row>
    <row r="204">
      <c r="A204" s="1" t="inlineStr">
        <is>
          <t>Wire, connector, cables &amp; crimps</t>
        </is>
      </c>
      <c r="B204" s="2" t="inlineStr">
        <is>
          <t>Lug - Ring, 22 AWG, M6 stud</t>
        </is>
      </c>
      <c r="C204" s="2" t="inlineStr">
        <is>
          <t>13-I Crimps, Ferrules &amp; Lugs</t>
        </is>
      </c>
      <c r="D204" s="1" t="inlineStr">
        <is>
          <t>Badri</t>
        </is>
      </c>
      <c r="E204" s="7" t="inlineStr">
        <is>
          <t>20</t>
        </is>
      </c>
      <c r="F204" s="1" t="inlineStr">
        <is>
          <t>India</t>
        </is>
      </c>
      <c r="G204" s="1" t="n"/>
      <c r="H204" s="1" t="inlineStr">
        <is>
          <t>No</t>
        </is>
      </c>
      <c r="I204" s="1" t="n"/>
      <c r="J204" s="1" t="n"/>
      <c r="K204" s="1" t="inlineStr">
        <is>
          <t>PR Raised</t>
        </is>
      </c>
      <c r="L204" s="3" t="n">
        <v>13</v>
      </c>
      <c r="M204" s="4" t="b">
        <v>0</v>
      </c>
      <c r="N204" s="3" t="n">
        <v>5</v>
      </c>
      <c r="O204" s="1" t="n"/>
      <c r="P204" s="1" t="n"/>
      <c r="Q204" s="1" t="n"/>
      <c r="R204" s="1" t="n"/>
      <c r="S204" s="1" t="inlineStr">
        <is>
          <t>Mobile (travels with robot)</t>
        </is>
      </c>
      <c r="T204" s="1" t="n"/>
      <c r="U204" s="3" t="n">
        <v>190</v>
      </c>
      <c r="V204" s="1">
        <f>IF($K204="To be purchased",COUNTIF($K$2:$K204,"To be purchased"),"")</f>
        <v/>
      </c>
    </row>
    <row r="205">
      <c r="A205" s="1" t="inlineStr">
        <is>
          <t>Wire, connector, cables &amp; crimps</t>
        </is>
      </c>
      <c r="B205" s="2" t="inlineStr">
        <is>
          <t>Heat Shrink - Assorted Box</t>
        </is>
      </c>
      <c r="C205" s="2" t="inlineStr">
        <is>
          <t>13-J Cable Management</t>
        </is>
      </c>
      <c r="D205" s="1" t="inlineStr">
        <is>
          <t>Badri</t>
        </is>
      </c>
      <c r="E205" s="7" t="inlineStr">
        <is>
          <t>1</t>
        </is>
      </c>
      <c r="F205" s="1" t="inlineStr">
        <is>
          <t>India</t>
        </is>
      </c>
      <c r="G205" s="1" t="n"/>
      <c r="H205" s="1" t="inlineStr">
        <is>
          <t>No</t>
        </is>
      </c>
      <c r="I205" s="1" t="n"/>
      <c r="J205" s="1" t="n"/>
      <c r="K205" s="1" t="inlineStr">
        <is>
          <t>In stock</t>
        </is>
      </c>
      <c r="L205" s="3" t="n">
        <v>13</v>
      </c>
      <c r="M205" s="4" t="b">
        <v>0</v>
      </c>
      <c r="N205" s="3" t="n">
        <v>5</v>
      </c>
      <c r="O205" s="1" t="n"/>
      <c r="P205" s="1" t="inlineStr">
        <is>
          <t>```</t>
        </is>
      </c>
      <c r="Q205" s="1" t="n"/>
      <c r="R205" s="1" t="n"/>
      <c r="S205" s="1" t="inlineStr">
        <is>
          <t>Mobile (travels with robot)</t>
        </is>
      </c>
      <c r="T205" s="1" t="n"/>
      <c r="U205" s="3" t="n">
        <v>206</v>
      </c>
      <c r="V205" s="1">
        <f>IF($K205="To be purchased",COUNTIF($K$2:$K205,"To be purchased"),"")</f>
        <v/>
      </c>
    </row>
    <row r="206">
      <c r="A206" s="1" t="inlineStr">
        <is>
          <t>Wire, connector, cables &amp; crimps</t>
        </is>
      </c>
      <c r="B206" s="2" t="inlineStr">
        <is>
          <t>Zip Tie - Nylon</t>
        </is>
      </c>
      <c r="C206" s="2" t="inlineStr">
        <is>
          <t>13-J Cable Management</t>
        </is>
      </c>
      <c r="D206" s="1" t="inlineStr">
        <is>
          <t>Kaustubh</t>
        </is>
      </c>
      <c r="E206" s="1" t="inlineStr">
        <is>
          <t>50</t>
        </is>
      </c>
      <c r="F206" s="1" t="inlineStr">
        <is>
          <t>India</t>
        </is>
      </c>
      <c r="G206" s="1" t="n"/>
      <c r="H206" s="1" t="inlineStr">
        <is>
          <t>No</t>
        </is>
      </c>
      <c r="I206" s="5" t="n"/>
      <c r="J206" s="6">
        <f>IFERROR(HYPERLINK("https://docs.google.com/spreadsheets/d/10M8oEMfSST-xuPwcSARfQDNcQJ0xrCp8O9iHBGPAr34/edit?gid=1956219685&amp;range=A"&amp;MATCH("PR-2026-1653",'PR Lookup'!A:A,0),"PR-2026-1653"),"PR-2026-1653")</f>
        <v/>
      </c>
      <c r="K206" s="1" t="inlineStr">
        <is>
          <t>In stock</t>
        </is>
      </c>
      <c r="L206" s="3" t="n">
        <v>13</v>
      </c>
      <c r="M206" s="4" t="b">
        <v>0</v>
      </c>
      <c r="N206" s="3" t="n">
        <v>5</v>
      </c>
      <c r="O206" s="1" t="n"/>
      <c r="P206" s="1" t="n"/>
      <c r="Q206" s="1" t="n"/>
      <c r="R206" s="1" t="n"/>
      <c r="S206" s="1" t="inlineStr">
        <is>
          <t>Mobile (travels with robot)</t>
        </is>
      </c>
      <c r="T206" s="1" t="n"/>
      <c r="U206" s="3" t="n">
        <v>221</v>
      </c>
      <c r="V206" s="1">
        <f>IF($K206="To be purchased",COUNTIF($K$2:$K206,"To be purchased"),"")</f>
        <v/>
      </c>
    </row>
    <row r="207">
      <c r="A207" s="1" t="inlineStr">
        <is>
          <t>Wire, connector, cables &amp; crimps</t>
        </is>
      </c>
      <c r="B207" s="2" t="inlineStr">
        <is>
          <t>Zip Tie Base - Adhesive Mount</t>
        </is>
      </c>
      <c r="C207" s="2" t="inlineStr">
        <is>
          <t>13-J Cable Management</t>
        </is>
      </c>
      <c r="D207" s="1" t="inlineStr">
        <is>
          <t>Kaustubh</t>
        </is>
      </c>
      <c r="E207" s="1" t="inlineStr">
        <is>
          <t>50</t>
        </is>
      </c>
      <c r="F207" s="1" t="inlineStr">
        <is>
          <t>India</t>
        </is>
      </c>
      <c r="G207" s="1" t="n"/>
      <c r="H207" s="1" t="inlineStr">
        <is>
          <t>No</t>
        </is>
      </c>
      <c r="I207" s="5" t="n"/>
      <c r="J207" s="6">
        <f>IFERROR(HYPERLINK("https://docs.google.com/spreadsheets/d/10M8oEMfSST-xuPwcSARfQDNcQJ0xrCp8O9iHBGPAr34/edit?gid=1956219685&amp;range=A"&amp;MATCH("PR-2026-1653",'PR Lookup'!A:A,0),"PR-2026-1653"),"PR-2026-1653")</f>
        <v/>
      </c>
      <c r="K207" s="1" t="inlineStr">
        <is>
          <t>In stock</t>
        </is>
      </c>
      <c r="L207" s="3" t="n">
        <v>13</v>
      </c>
      <c r="M207" s="4" t="b">
        <v>0</v>
      </c>
      <c r="N207" s="3" t="n">
        <v>5</v>
      </c>
      <c r="O207" s="1" t="n"/>
      <c r="P207" s="1" t="n"/>
      <c r="Q207" s="1" t="n"/>
      <c r="R207" s="1" t="n"/>
      <c r="S207" s="1" t="inlineStr">
        <is>
          <t>Mobile (travels with robot)</t>
        </is>
      </c>
      <c r="T207" s="1" t="n"/>
      <c r="U207" s="3" t="n">
        <v>222</v>
      </c>
      <c r="V207" s="1">
        <f>IF($K207="To be purchased",COUNTIF($K$2:$K207,"To be purchased"),"")</f>
        <v/>
      </c>
    </row>
    <row r="208">
      <c r="A208" s="1" t="inlineStr">
        <is>
          <t>Wire, connector, cables &amp; crimps</t>
        </is>
      </c>
      <c r="B208" s="2" t="inlineStr">
        <is>
          <t>Gland - Cable, PG7</t>
        </is>
      </c>
      <c r="C208" s="2" t="inlineStr">
        <is>
          <t>13-J Cable Management</t>
        </is>
      </c>
      <c r="D208" s="1" t="inlineStr">
        <is>
          <t>Kaustubh</t>
        </is>
      </c>
      <c r="E208" s="1" t="n">
        <v>15</v>
      </c>
      <c r="F208" s="1" t="inlineStr">
        <is>
          <t>India</t>
        </is>
      </c>
      <c r="G208" s="1" t="n"/>
      <c r="H208" s="1" t="inlineStr">
        <is>
          <t>No</t>
        </is>
      </c>
      <c r="I208" s="5" t="n"/>
      <c r="J208" s="6">
        <f>IFERROR(HYPERLINK("https://docs.google.com/spreadsheets/d/10M8oEMfSST-xuPwcSARfQDNcQJ0xrCp8O9iHBGPAr34/edit?gid=1956219685&amp;range=A"&amp;MATCH("PR-2026-1650",'PR Lookup'!A:A,0),"PR-2026-1650"),"PR-2026-1650")</f>
        <v/>
      </c>
      <c r="K208" s="1" t="inlineStr">
        <is>
          <t>PR Raised</t>
        </is>
      </c>
      <c r="L208" s="3" t="n">
        <v>13</v>
      </c>
      <c r="M208" s="4" t="b">
        <v>0</v>
      </c>
      <c r="N208" s="3" t="n">
        <v>5</v>
      </c>
      <c r="O208" s="1" t="n"/>
      <c r="P208" s="1" t="n"/>
      <c r="Q208" s="1" t="n"/>
      <c r="R208" s="1" t="n"/>
      <c r="S208" s="1" t="inlineStr">
        <is>
          <t>NY Stationary (stays in NY inventory)</t>
        </is>
      </c>
      <c r="T208" s="1" t="n"/>
      <c r="U208" s="3" t="n">
        <v>348</v>
      </c>
      <c r="V208" s="1">
        <f>IF($K208="To be purchased",COUNTIF($K$2:$K208,"To be purchased"),"")</f>
        <v/>
      </c>
    </row>
    <row r="209">
      <c r="A209" s="1" t="inlineStr">
        <is>
          <t>Wire, connector, cables &amp; crimps</t>
        </is>
      </c>
      <c r="B209" s="2" t="inlineStr">
        <is>
          <t>Gland - Cable, PG9</t>
        </is>
      </c>
      <c r="C209" s="2" t="inlineStr">
        <is>
          <t>13-J Cable Management</t>
        </is>
      </c>
      <c r="D209" s="1" t="inlineStr">
        <is>
          <t>Kaustubh</t>
        </is>
      </c>
      <c r="E209" s="1" t="n">
        <v>15</v>
      </c>
      <c r="F209" s="1" t="inlineStr">
        <is>
          <t>India</t>
        </is>
      </c>
      <c r="G209" s="1" t="n"/>
      <c r="H209" s="1" t="inlineStr">
        <is>
          <t>No</t>
        </is>
      </c>
      <c r="I209" s="5" t="n"/>
      <c r="J209" s="6">
        <f>IFERROR(HYPERLINK("https://docs.google.com/spreadsheets/d/10M8oEMfSST-xuPwcSARfQDNcQJ0xrCp8O9iHBGPAr34/edit?gid=1956219685&amp;range=A"&amp;MATCH("PR-2026-1650",'PR Lookup'!A:A,0),"PR-2026-1650"),"PR-2026-1650")</f>
        <v/>
      </c>
      <c r="K209" s="1" t="inlineStr">
        <is>
          <t>PR Raised</t>
        </is>
      </c>
      <c r="L209" s="3" t="n">
        <v>13</v>
      </c>
      <c r="M209" s="4" t="b">
        <v>0</v>
      </c>
      <c r="N209" s="3" t="n">
        <v>5</v>
      </c>
      <c r="O209" s="1" t="n"/>
      <c r="P209" s="1" t="n"/>
      <c r="Q209" s="1" t="n"/>
      <c r="R209" s="1" t="n"/>
      <c r="S209" s="1" t="inlineStr">
        <is>
          <t>NY Stationary (stays in NY inventory)</t>
        </is>
      </c>
      <c r="T209" s="1" t="n"/>
      <c r="U209" s="3" t="n">
        <v>349</v>
      </c>
      <c r="V209" s="1">
        <f>IF($K209="To be purchased",COUNTIF($K$2:$K209,"To be purchased"),"")</f>
        <v/>
      </c>
    </row>
    <row r="210">
      <c r="A210" s="1" t="inlineStr">
        <is>
          <t>Wire, connector, cables &amp; crimps</t>
        </is>
      </c>
      <c r="B210" s="2" t="inlineStr">
        <is>
          <t>Gland - Cable, PG11</t>
        </is>
      </c>
      <c r="C210" s="2" t="inlineStr">
        <is>
          <t>13-J Cable Management</t>
        </is>
      </c>
      <c r="D210" s="1" t="inlineStr">
        <is>
          <t>Kaustubh</t>
        </is>
      </c>
      <c r="E210" s="1" t="n">
        <v>15</v>
      </c>
      <c r="F210" s="1" t="inlineStr">
        <is>
          <t>India</t>
        </is>
      </c>
      <c r="G210" s="1" t="n"/>
      <c r="H210" s="1" t="inlineStr">
        <is>
          <t>No</t>
        </is>
      </c>
      <c r="I210" s="5" t="n"/>
      <c r="J210" s="6">
        <f>IFERROR(HYPERLINK("https://docs.google.com/spreadsheets/d/10M8oEMfSST-xuPwcSARfQDNcQJ0xrCp8O9iHBGPAr34/edit?gid=1956219685&amp;range=A"&amp;MATCH("PR-2026-1650",'PR Lookup'!A:A,0),"PR-2026-1650"),"PR-2026-1650")</f>
        <v/>
      </c>
      <c r="K210" s="1" t="inlineStr">
        <is>
          <t>PR Raised</t>
        </is>
      </c>
      <c r="L210" s="3" t="n">
        <v>13</v>
      </c>
      <c r="M210" s="4" t="b">
        <v>0</v>
      </c>
      <c r="N210" s="3" t="n">
        <v>5</v>
      </c>
      <c r="O210" s="1" t="n"/>
      <c r="P210" s="1" t="n"/>
      <c r="Q210" s="1" t="n"/>
      <c r="R210" s="1" t="n"/>
      <c r="S210" s="1" t="inlineStr">
        <is>
          <t>NY Stationary (stays in NY inventory)</t>
        </is>
      </c>
      <c r="T210" s="1" t="n"/>
      <c r="U210" s="3" t="n">
        <v>350</v>
      </c>
      <c r="V210" s="1">
        <f>IF($K210="To be purchased",COUNTIF($K$2:$K210,"To be purchased"),"")</f>
        <v/>
      </c>
    </row>
    <row r="211">
      <c r="A211" s="1" t="inlineStr">
        <is>
          <t>Wire, connector, cables &amp; crimps</t>
        </is>
      </c>
      <c r="B211" s="2" t="inlineStr">
        <is>
          <t>Conduit- Cable, PG7</t>
        </is>
      </c>
      <c r="C211" s="2" t="inlineStr">
        <is>
          <t>13-J Cable Management</t>
        </is>
      </c>
      <c r="D211" s="1" t="inlineStr">
        <is>
          <t>Kaustubh</t>
        </is>
      </c>
      <c r="E211" s="1" t="inlineStr">
        <is>
          <t>3m</t>
        </is>
      </c>
      <c r="F211" s="1" t="inlineStr">
        <is>
          <t>India</t>
        </is>
      </c>
      <c r="G211" s="1" t="n"/>
      <c r="H211" s="1" t="inlineStr">
        <is>
          <t>No</t>
        </is>
      </c>
      <c r="I211" s="5" t="n"/>
      <c r="J211" s="6">
        <f>IFERROR(HYPERLINK("https://docs.google.com/spreadsheets/d/10M8oEMfSST-xuPwcSARfQDNcQJ0xrCp8O9iHBGPAr34/edit?gid=1956219685&amp;range=A"&amp;MATCH("PR-2026-1650",'PR Lookup'!A:A,0),"PR-2026-1650"),"PR-2026-1650")</f>
        <v/>
      </c>
      <c r="K211" s="1" t="inlineStr">
        <is>
          <t>PR Raised</t>
        </is>
      </c>
      <c r="L211" s="3" t="n">
        <v>13</v>
      </c>
      <c r="M211" s="4" t="b">
        <v>0</v>
      </c>
      <c r="N211" s="3" t="n">
        <v>5</v>
      </c>
      <c r="O211" s="1" t="n"/>
      <c r="P211" s="1" t="n"/>
      <c r="Q211" s="1" t="n"/>
      <c r="R211" s="1" t="n"/>
      <c r="S211" s="1" t="inlineStr">
        <is>
          <t>NY Stationary (stays in NY inventory)</t>
        </is>
      </c>
      <c r="T211" s="1" t="n"/>
      <c r="U211" s="3" t="n">
        <v>348</v>
      </c>
      <c r="V211" s="1">
        <f>IF($K211="To be purchased",COUNTIF($K$2:$K211,"To be purchased"),"")</f>
        <v/>
      </c>
    </row>
    <row r="212">
      <c r="A212" s="1" t="inlineStr">
        <is>
          <t>Wire, connector, cables &amp; crimps</t>
        </is>
      </c>
      <c r="B212" s="2" t="inlineStr">
        <is>
          <t>Conduit- Cable, PG9</t>
        </is>
      </c>
      <c r="C212" s="2" t="inlineStr">
        <is>
          <t>13-J Cable Management</t>
        </is>
      </c>
      <c r="D212" s="1" t="inlineStr">
        <is>
          <t>Kaustubh</t>
        </is>
      </c>
      <c r="E212" s="1" t="inlineStr">
        <is>
          <t>3m</t>
        </is>
      </c>
      <c r="F212" s="1" t="inlineStr">
        <is>
          <t>India</t>
        </is>
      </c>
      <c r="G212" s="1" t="n"/>
      <c r="H212" s="1" t="inlineStr">
        <is>
          <t>No</t>
        </is>
      </c>
      <c r="I212" s="5" t="n"/>
      <c r="J212" s="6">
        <f>IFERROR(HYPERLINK("https://docs.google.com/spreadsheets/d/10M8oEMfSST-xuPwcSARfQDNcQJ0xrCp8O9iHBGPAr34/edit?gid=1956219685&amp;range=A"&amp;MATCH("PR-2026-1650",'PR Lookup'!A:A,0),"PR-2026-1650"),"PR-2026-1650")</f>
        <v/>
      </c>
      <c r="K212" s="1" t="inlineStr">
        <is>
          <t>PR Raised</t>
        </is>
      </c>
      <c r="L212" s="3" t="n">
        <v>13</v>
      </c>
      <c r="M212" s="4" t="b">
        <v>0</v>
      </c>
      <c r="N212" s="3" t="n">
        <v>5</v>
      </c>
      <c r="O212" s="1" t="n"/>
      <c r="P212" s="1" t="n"/>
      <c r="Q212" s="1" t="n"/>
      <c r="R212" s="1" t="n"/>
      <c r="S212" s="1" t="inlineStr">
        <is>
          <t>NY Stationary (stays in NY inventory)</t>
        </is>
      </c>
      <c r="T212" s="1" t="n"/>
      <c r="U212" s="3" t="n">
        <v>349</v>
      </c>
      <c r="V212" s="1">
        <f>IF($K212="To be purchased",COUNTIF($K$2:$K212,"To be purchased"),"")</f>
        <v/>
      </c>
    </row>
    <row r="213">
      <c r="A213" s="1" t="inlineStr">
        <is>
          <t>Wire, connector, cables &amp; crimps</t>
        </is>
      </c>
      <c r="B213" s="2" t="inlineStr">
        <is>
          <t>Conduit - Cable, PG11</t>
        </is>
      </c>
      <c r="C213" s="2" t="inlineStr">
        <is>
          <t>13-J Cable Management</t>
        </is>
      </c>
      <c r="D213" s="1" t="inlineStr">
        <is>
          <t>Kaustubh</t>
        </is>
      </c>
      <c r="E213" s="1" t="inlineStr">
        <is>
          <t>3m</t>
        </is>
      </c>
      <c r="F213" s="1" t="inlineStr">
        <is>
          <t>India</t>
        </is>
      </c>
      <c r="G213" s="1" t="n"/>
      <c r="H213" s="1" t="inlineStr">
        <is>
          <t>No</t>
        </is>
      </c>
      <c r="I213" s="5" t="n"/>
      <c r="J213" s="6">
        <f>IFERROR(HYPERLINK("https://docs.google.com/spreadsheets/d/10M8oEMfSST-xuPwcSARfQDNcQJ0xrCp8O9iHBGPAr34/edit?gid=1956219685&amp;range=A"&amp;MATCH("PR-2026-1650",'PR Lookup'!A:A,0),"PR-2026-1650"),"PR-2026-1650")</f>
        <v/>
      </c>
      <c r="K213" s="1" t="inlineStr">
        <is>
          <t>PR Raised</t>
        </is>
      </c>
      <c r="L213" s="3" t="n">
        <v>13</v>
      </c>
      <c r="M213" s="4" t="b">
        <v>0</v>
      </c>
      <c r="N213" s="3" t="n">
        <v>5</v>
      </c>
      <c r="O213" s="1" t="n"/>
      <c r="P213" s="1" t="n"/>
      <c r="Q213" s="1" t="n"/>
      <c r="R213" s="1" t="n"/>
      <c r="S213" s="1" t="inlineStr">
        <is>
          <t>NY Stationary (stays in NY inventory)</t>
        </is>
      </c>
      <c r="T213" s="1" t="n"/>
      <c r="U213" s="3" t="n">
        <v>350</v>
      </c>
      <c r="V213" s="1">
        <f>IF($K213="To be purchased",COUNTIF($K$2:$K213,"To be purchased"),"")</f>
        <v/>
      </c>
    </row>
    <row r="214">
      <c r="A214" s="1" t="inlineStr">
        <is>
          <t>Wire, connector, cables &amp; crimps</t>
        </is>
      </c>
      <c r="B214" s="2" t="inlineStr">
        <is>
          <t>Cable Track - 15 x 30 mm</t>
        </is>
      </c>
      <c r="C214" s="2" t="inlineStr">
        <is>
          <t>13-J Cable Management</t>
        </is>
      </c>
      <c r="D214" s="1" t="inlineStr">
        <is>
          <t>SANKALP</t>
        </is>
      </c>
      <c r="E214" s="1" t="inlineStr">
        <is>
          <t>2m</t>
        </is>
      </c>
      <c r="F214" s="1" t="inlineStr">
        <is>
          <t>India</t>
        </is>
      </c>
      <c r="G214" s="1" t="n"/>
      <c r="H214" s="1" t="inlineStr">
        <is>
          <t>No</t>
        </is>
      </c>
      <c r="I214" s="5" t="n"/>
      <c r="J214" s="6">
        <f>IFERROR(HYPERLINK("https://docs.google.com/spreadsheets/d/10M8oEMfSST-xuPwcSARfQDNcQJ0xrCp8O9iHBGPAr34/edit?gid=1956219685&amp;range=A"&amp;MATCH("PR-2026-1642",'PR Lookup'!A:A,0),"PR-2026-1642"),"PR-2026-1642")</f>
        <v/>
      </c>
      <c r="K214" s="1" t="inlineStr">
        <is>
          <t>PR Raised</t>
        </is>
      </c>
      <c r="L214" s="3" t="n">
        <v>13</v>
      </c>
      <c r="M214" s="4" t="b">
        <v>0</v>
      </c>
      <c r="N214" s="3" t="n">
        <v>5</v>
      </c>
      <c r="O214" s="1" t="n"/>
      <c r="P214" s="1" t="n"/>
      <c r="Q214" s="1" t="inlineStr">
        <is>
          <t>LINK</t>
        </is>
      </c>
      <c r="R214" s="1" t="n"/>
      <c r="S214" s="1" t="n"/>
      <c r="T214" s="1" t="n"/>
      <c r="U214" s="3" t="n">
        <v>418</v>
      </c>
      <c r="V214" s="1">
        <f>IF($K214="To be purchased",COUNTIF($K$2:$K214,"To be purchased"),"")</f>
        <v/>
      </c>
    </row>
    <row r="215">
      <c r="A215" s="1" t="inlineStr">
        <is>
          <t>Wire, connector, cables &amp; crimps</t>
        </is>
      </c>
      <c r="B215" s="2" t="inlineStr">
        <is>
          <t>Cable Track - 15 x 20 mm</t>
        </is>
      </c>
      <c r="C215" s="2" t="inlineStr">
        <is>
          <t>13-J Cable Management</t>
        </is>
      </c>
      <c r="D215" s="1" t="inlineStr">
        <is>
          <t>Kaustubh</t>
        </is>
      </c>
      <c r="E215" s="1" t="inlineStr">
        <is>
          <t>7m</t>
        </is>
      </c>
      <c r="F215" s="1" t="inlineStr">
        <is>
          <t>India</t>
        </is>
      </c>
      <c r="G215" s="1" t="n"/>
      <c r="H215" s="1" t="inlineStr">
        <is>
          <t>No</t>
        </is>
      </c>
      <c r="I215" s="5" t="n"/>
      <c r="J215" s="6">
        <f>IFERROR(HYPERLINK("https://docs.google.com/spreadsheets/d/10M8oEMfSST-xuPwcSARfQDNcQJ0xrCp8O9iHBGPAr34/edit?gid=1956219685&amp;range=A"&amp;MATCH("PR-2026-1643",'PR Lookup'!A:A,0),"PR-2026-1643"),"PR-2026-1643")</f>
        <v/>
      </c>
      <c r="K215" s="1" t="inlineStr">
        <is>
          <t>In stock</t>
        </is>
      </c>
      <c r="L215" s="3" t="n">
        <v>13</v>
      </c>
      <c r="M215" s="4" t="b">
        <v>0</v>
      </c>
      <c r="N215" s="3" t="n">
        <v>5</v>
      </c>
      <c r="O215" s="1" t="n"/>
      <c r="P215" s="1" t="n"/>
      <c r="Q215" s="1" t="inlineStr">
        <is>
          <t>LINK</t>
        </is>
      </c>
      <c r="R215" s="1" t="n"/>
      <c r="S215" s="1" t="n"/>
      <c r="T215" s="1" t="n"/>
      <c r="U215" s="3" t="n">
        <v>420</v>
      </c>
      <c r="V215" s="1">
        <f>IF($K215="To be purchased",COUNTIF($K$2:$K215,"To be purchased"),"")</f>
        <v/>
      </c>
    </row>
    <row r="216">
      <c r="A216" s="1" t="inlineStr">
        <is>
          <t>Wire, connector, cables &amp; crimps</t>
        </is>
      </c>
      <c r="B216" s="2" t="inlineStr">
        <is>
          <t>Mount - Cable Track (3D printed)</t>
        </is>
      </c>
      <c r="C216" s="2" t="inlineStr">
        <is>
          <t>13-J Cable Management</t>
        </is>
      </c>
      <c r="D216" s="1" t="inlineStr">
        <is>
          <t>SANKALP</t>
        </is>
      </c>
      <c r="E216" s="1" t="inlineStr">
        <is>
          <t>5</t>
        </is>
      </c>
      <c r="F216" s="1" t="inlineStr">
        <is>
          <t>India</t>
        </is>
      </c>
      <c r="G216" s="1" t="n"/>
      <c r="H216" s="1" t="inlineStr">
        <is>
          <t>No</t>
        </is>
      </c>
      <c r="I216" s="1" t="n"/>
      <c r="J216" s="1" t="n"/>
      <c r="K216" s="1" t="inlineStr">
        <is>
          <t>To be Printed</t>
        </is>
      </c>
      <c r="L216" s="3" t="n">
        <v>13</v>
      </c>
      <c r="M216" s="4" t="b">
        <v>0</v>
      </c>
      <c r="N216" s="3" t="n">
        <v>5</v>
      </c>
      <c r="O216" s="1" t="n"/>
      <c r="P216" s="1" t="n"/>
      <c r="Q216" s="1" t="inlineStr">
        <is>
          <t>CABLE TRACK MOUNT.step</t>
        </is>
      </c>
      <c r="R216" s="1" t="n"/>
      <c r="S216" s="1" t="n"/>
      <c r="T216" s="1" t="n"/>
      <c r="U216" s="3" t="n">
        <v>435</v>
      </c>
      <c r="V216" s="1">
        <f>IF($K216="To be purchased",COUNTIF($K$2:$K216,"To be purchased"),"")</f>
        <v/>
      </c>
    </row>
    <row r="217">
      <c r="A217" s="1" t="inlineStr">
        <is>
          <t>Wire, connector, cables &amp; crimps</t>
        </is>
      </c>
      <c r="B217" s="2" t="inlineStr">
        <is>
          <t>Conduit - Hose &amp; Wire, 2 in dia x 12 ft - sander</t>
        </is>
      </c>
      <c r="C217" s="2" t="inlineStr">
        <is>
          <t>13-J Cable Management</t>
        </is>
      </c>
      <c r="D217" s="1" t="inlineStr">
        <is>
          <t>SANKALP</t>
        </is>
      </c>
      <c r="E217" s="1" t="inlineStr">
        <is>
          <t>1</t>
        </is>
      </c>
      <c r="F217" s="1" t="inlineStr">
        <is>
          <t>India</t>
        </is>
      </c>
      <c r="G217" s="1" t="n"/>
      <c r="H217" s="1" t="inlineStr">
        <is>
          <t>No</t>
        </is>
      </c>
      <c r="I217" s="1" t="n"/>
      <c r="J217" s="1" t="n"/>
      <c r="K217" s="1" t="inlineStr">
        <is>
          <t>In stock</t>
        </is>
      </c>
      <c r="L217" s="3" t="n">
        <v>13</v>
      </c>
      <c r="M217" s="4" t="b">
        <v>0</v>
      </c>
      <c r="N217" s="3" t="n">
        <v>5</v>
      </c>
      <c r="O217" s="1" t="n"/>
      <c r="P217" s="1" t="n"/>
      <c r="Q217" s="1" t="inlineStr">
        <is>
          <t>Procure from Ganga Electricals, Next to Karnataka Hardware</t>
        </is>
      </c>
      <c r="R217" s="1" t="n"/>
      <c r="S217" s="1" t="n"/>
      <c r="T217" s="1" t="n"/>
      <c r="U217" s="3" t="n">
        <v>438</v>
      </c>
      <c r="V217" s="1">
        <f>IF($K217="To be purchased",COUNTIF($K$2:$K217,"To be purchased"),"")</f>
        <v/>
      </c>
    </row>
    <row r="218">
      <c r="A218" s="13" t="inlineStr">
        <is>
          <t>Wire, connector, cables &amp; crimps</t>
        </is>
      </c>
      <c r="B218" s="2" t="inlineStr">
        <is>
          <t>Zip Tie - Stainless Steel, SS304-30046</t>
        </is>
      </c>
      <c r="C218" s="2" t="inlineStr">
        <is>
          <t>13-J Cable Management</t>
        </is>
      </c>
      <c r="D218" s="1" t="inlineStr">
        <is>
          <t>Anand</t>
        </is>
      </c>
      <c r="E218" s="1" t="inlineStr">
        <is>
          <t>50</t>
        </is>
      </c>
      <c r="F218" s="1" t="inlineStr">
        <is>
          <t>India</t>
        </is>
      </c>
      <c r="G218" s="1" t="n"/>
      <c r="H218" s="1" t="inlineStr">
        <is>
          <t>No</t>
        </is>
      </c>
      <c r="I218" s="1" t="n"/>
      <c r="J218" s="1" t="n"/>
      <c r="K218" s="1" t="inlineStr">
        <is>
          <t>In stock</t>
        </is>
      </c>
      <c r="L218" s="14" t="n">
        <v>13</v>
      </c>
      <c r="M218" s="4" t="b">
        <v>0</v>
      </c>
      <c r="N218" s="3" t="n">
        <v>5</v>
      </c>
      <c r="O218" s="1" t="n"/>
      <c r="P218" s="1" t="n"/>
      <c r="Q218" s="1" t="n"/>
      <c r="R218" s="1" t="n"/>
      <c r="S218" s="1" t="n"/>
      <c r="T218" s="2" t="inlineStr">
        <is>
          <t>[BOX ASSIGNED: 13 Wire, connector, cables &amp; crimps - was unassigned]</t>
        </is>
      </c>
      <c r="U218" s="3" t="n">
        <v>619</v>
      </c>
      <c r="V218" s="1">
        <f>IF($K218="To be purchased",COUNTIF($K$2:$K218,"To be purchased"),"")</f>
        <v/>
      </c>
    </row>
    <row r="219">
      <c r="A219" s="1" t="inlineStr">
        <is>
          <t>Diagnostic &amp; repair tools</t>
        </is>
      </c>
      <c r="B219" s="2" t="inlineStr">
        <is>
          <t>Crimping Tool - Engineer PA-09</t>
        </is>
      </c>
      <c r="C219" s="2" t="inlineStr">
        <is>
          <t>13-K Crimping Tools</t>
        </is>
      </c>
      <c r="D219" s="1" t="inlineStr">
        <is>
          <t>Badri</t>
        </is>
      </c>
      <c r="E219" s="1" t="inlineStr">
        <is>
          <t>1</t>
        </is>
      </c>
      <c r="F219" s="1" t="inlineStr">
        <is>
          <t>India</t>
        </is>
      </c>
      <c r="G219" s="1" t="n"/>
      <c r="H219" s="1" t="inlineStr">
        <is>
          <t>No</t>
        </is>
      </c>
      <c r="I219" s="1" t="n"/>
      <c r="J219" s="1" t="n"/>
      <c r="K219" s="1" t="inlineStr">
        <is>
          <t>PR Raised</t>
        </is>
      </c>
      <c r="L219" s="3" t="n">
        <v>13</v>
      </c>
      <c r="M219" s="4" t="b">
        <v>0</v>
      </c>
      <c r="N219" s="3" t="n">
        <v>5</v>
      </c>
      <c r="O219" s="1" t="n"/>
      <c r="P219" s="1" t="n"/>
      <c r="Q219" s="1" t="n"/>
      <c r="R219" s="1" t="n"/>
      <c r="S219" s="1" t="n"/>
      <c r="T219" s="2" t="inlineStr">
        <is>
          <t>Detail: For JST-XA and JST-SM crimps.</t>
        </is>
      </c>
      <c r="U219" s="3" t="n">
        <v>559</v>
      </c>
      <c r="V219" s="1">
        <f>IF($K219="To be purchased",COUNTIF($K$2:$K219,"To be purchased"),"")</f>
        <v/>
      </c>
    </row>
    <row r="220">
      <c r="A220" s="1" t="inlineStr">
        <is>
          <t>Custom PCB</t>
        </is>
      </c>
      <c r="B220" s="2" t="inlineStr">
        <is>
          <t>PCB - DC IMD, V1.0</t>
        </is>
      </c>
      <c r="C220" s="2" t="inlineStr">
        <is>
          <t>14-A Controller, GPIO, IMD &amp; Comms PCBs</t>
        </is>
      </c>
      <c r="D220" s="1" t="inlineStr">
        <is>
          <t>Badri</t>
        </is>
      </c>
      <c r="E220" s="1" t="inlineStr">
        <is>
          <t>1</t>
        </is>
      </c>
      <c r="F220" s="1" t="inlineStr">
        <is>
          <t>India</t>
        </is>
      </c>
      <c r="G220" s="1" t="n"/>
      <c r="H220" s="1" t="inlineStr">
        <is>
          <t>No</t>
        </is>
      </c>
      <c r="I220" s="1" t="n"/>
      <c r="J220" s="1" t="n"/>
      <c r="K220" s="1" t="inlineStr">
        <is>
          <t>IQC Stage</t>
        </is>
      </c>
      <c r="L220" s="3" t="n">
        <v>14</v>
      </c>
      <c r="M220" s="4" t="b">
        <v>0</v>
      </c>
      <c r="N220" s="3" t="n">
        <v>5</v>
      </c>
      <c r="O220" s="1" t="n"/>
      <c r="P220" s="1" t="n"/>
      <c r="Q220" s="1" t="n"/>
      <c r="R220" s="1" t="n"/>
      <c r="S220" s="1" t="inlineStr">
        <is>
          <t>Mobile (travels with robot)</t>
        </is>
      </c>
      <c r="T220" s="1" t="n"/>
      <c r="U220" s="3" t="n">
        <v>46</v>
      </c>
      <c r="V220" s="1">
        <f>IF($K220="To be purchased",COUNTIF($K$2:$K220,"To be purchased"),"")</f>
        <v/>
      </c>
    </row>
    <row r="221">
      <c r="A221" s="1" t="inlineStr">
        <is>
          <t>Custom PCB</t>
        </is>
      </c>
      <c r="B221" s="2" t="inlineStr">
        <is>
          <t>PCB - ASB, V1.1</t>
        </is>
      </c>
      <c r="C221" s="2" t="inlineStr">
        <is>
          <t>14-A Controller, GPIO, IMD &amp; Comms PCBs</t>
        </is>
      </c>
      <c r="D221" s="1" t="inlineStr">
        <is>
          <t>Badri</t>
        </is>
      </c>
      <c r="E221" s="7" t="inlineStr">
        <is>
          <t>1</t>
        </is>
      </c>
      <c r="F221" s="1" t="inlineStr">
        <is>
          <t>India</t>
        </is>
      </c>
      <c r="G221" s="1" t="n"/>
      <c r="H221" s="1" t="inlineStr">
        <is>
          <t>No</t>
        </is>
      </c>
      <c r="I221" s="1" t="n"/>
      <c r="J221" s="1" t="n"/>
      <c r="K221" s="1" t="inlineStr">
        <is>
          <t>PR Raised</t>
        </is>
      </c>
      <c r="L221" s="3" t="n">
        <v>14</v>
      </c>
      <c r="M221" s="4" t="b">
        <v>0</v>
      </c>
      <c r="N221" s="3" t="n">
        <v>5</v>
      </c>
      <c r="O221" s="1" t="n"/>
      <c r="P221" s="1" t="n"/>
      <c r="Q221" s="1" t="n"/>
      <c r="R221" s="1" t="n"/>
      <c r="S221" s="1" t="inlineStr">
        <is>
          <t>Mobile (travels with robot)</t>
        </is>
      </c>
      <c r="T221" s="1" t="n"/>
      <c r="U221" s="3" t="n">
        <v>64</v>
      </c>
      <c r="V221" s="1">
        <f>IF($K221="To be purchased",COUNTIF($K$2:$K221,"To be purchased"),"")</f>
        <v/>
      </c>
    </row>
    <row r="222">
      <c r="A222" s="1" t="inlineStr">
        <is>
          <t>Custom PCB</t>
        </is>
      </c>
      <c r="B222" s="2" t="inlineStr">
        <is>
          <t>PCB - Tool CAN Termination V1.0</t>
        </is>
      </c>
      <c r="C222" s="2" t="inlineStr">
        <is>
          <t>14-A Controller, GPIO, IMD &amp; Comms PCBs</t>
        </is>
      </c>
      <c r="D222" s="1" t="inlineStr">
        <is>
          <t>Badri</t>
        </is>
      </c>
      <c r="E222" s="1" t="inlineStr">
        <is>
          <t>2</t>
        </is>
      </c>
      <c r="F222" s="1" t="inlineStr">
        <is>
          <t>India</t>
        </is>
      </c>
      <c r="G222" s="1" t="n"/>
      <c r="H222" s="1" t="inlineStr">
        <is>
          <t>No</t>
        </is>
      </c>
      <c r="I222" s="1" t="n"/>
      <c r="J222" s="1" t="n"/>
      <c r="K222" s="1" t="inlineStr">
        <is>
          <t>IQC Stage</t>
        </is>
      </c>
      <c r="L222" s="3" t="n">
        <v>14</v>
      </c>
      <c r="M222" s="4" t="b">
        <v>0</v>
      </c>
      <c r="N222" s="3" t="n">
        <v>5</v>
      </c>
      <c r="O222" s="1" t="n"/>
      <c r="P222" s="1" t="n"/>
      <c r="Q222" s="1" t="n"/>
      <c r="R222" s="1" t="n"/>
      <c r="S222" s="1" t="inlineStr">
        <is>
          <t>Mobile (travels with robot)</t>
        </is>
      </c>
      <c r="T222" s="1" t="n"/>
      <c r="U222" s="3" t="n">
        <v>67</v>
      </c>
      <c r="V222" s="1">
        <f>IF($K222="To be purchased",COUNTIF($K$2:$K222,"To be purchased"),"")</f>
        <v/>
      </c>
    </row>
    <row r="223">
      <c r="A223" s="1" t="inlineStr">
        <is>
          <t>Custom PCB</t>
        </is>
      </c>
      <c r="B223" s="2" t="inlineStr">
        <is>
          <t>PCB - Controller GPIO, V1.1</t>
        </is>
      </c>
      <c r="C223" s="2" t="inlineStr">
        <is>
          <t>14-A Controller, GPIO, IMD &amp; Comms PCBs</t>
        </is>
      </c>
      <c r="D223" s="1" t="inlineStr">
        <is>
          <t>Badri</t>
        </is>
      </c>
      <c r="E223" s="7" t="inlineStr">
        <is>
          <t>1</t>
        </is>
      </c>
      <c r="F223" s="1" t="inlineStr">
        <is>
          <t>India</t>
        </is>
      </c>
      <c r="G223" s="1" t="n"/>
      <c r="H223" s="1" t="inlineStr">
        <is>
          <t>No</t>
        </is>
      </c>
      <c r="I223" s="1" t="n"/>
      <c r="J223" s="1" t="n"/>
      <c r="K223" s="1" t="inlineStr">
        <is>
          <t>PR Raised</t>
        </is>
      </c>
      <c r="L223" s="3" t="n">
        <v>14</v>
      </c>
      <c r="M223" s="4" t="b">
        <v>0</v>
      </c>
      <c r="N223" s="3" t="n">
        <v>5</v>
      </c>
      <c r="O223" s="1" t="n"/>
      <c r="P223" s="1" t="n"/>
      <c r="Q223" s="1" t="n"/>
      <c r="R223" s="1" t="n"/>
      <c r="S223" s="1" t="inlineStr">
        <is>
          <t>NY Stationary (stays in NY inventory)</t>
        </is>
      </c>
      <c r="T223" s="1" t="n"/>
      <c r="U223" s="3" t="n">
        <v>74</v>
      </c>
      <c r="V223" s="1">
        <f>IF($K223="To be purchased",COUNTIF($K$2:$K223,"To be purchased"),"")</f>
        <v/>
      </c>
    </row>
    <row r="224">
      <c r="A224" s="1" t="inlineStr">
        <is>
          <t>Custom PCB</t>
        </is>
      </c>
      <c r="B224" s="2" t="inlineStr">
        <is>
          <t>PCB - Planner GPIO, V1.1</t>
        </is>
      </c>
      <c r="C224" s="2" t="inlineStr">
        <is>
          <t>14-A Controller, GPIO, IMD &amp; Comms PCBs</t>
        </is>
      </c>
      <c r="D224" s="1" t="inlineStr">
        <is>
          <t>Badri</t>
        </is>
      </c>
      <c r="E224" s="1" t="inlineStr">
        <is>
          <t>1</t>
        </is>
      </c>
      <c r="F224" s="1" t="inlineStr">
        <is>
          <t>India</t>
        </is>
      </c>
      <c r="G224" s="1" t="n"/>
      <c r="H224" s="1" t="inlineStr">
        <is>
          <t>No</t>
        </is>
      </c>
      <c r="I224" s="1" t="n"/>
      <c r="J224" s="1" t="n"/>
      <c r="K224" s="1" t="inlineStr">
        <is>
          <t>IQC Stage</t>
        </is>
      </c>
      <c r="L224" s="3" t="n">
        <v>14</v>
      </c>
      <c r="M224" s="4" t="b">
        <v>0</v>
      </c>
      <c r="N224" s="3" t="n">
        <v>5</v>
      </c>
      <c r="O224" s="1" t="n"/>
      <c r="P224" s="1" t="n"/>
      <c r="Q224" s="1" t="n"/>
      <c r="R224" s="1" t="n"/>
      <c r="S224" s="1" t="inlineStr">
        <is>
          <t>Mobile (travels with robot)</t>
        </is>
      </c>
      <c r="T224" s="1" t="n"/>
      <c r="U224" s="3" t="n">
        <v>86</v>
      </c>
      <c r="V224" s="1">
        <f>IF($K224="To be purchased",COUNTIF($K$2:$K224,"To be purchased"),"")</f>
        <v/>
      </c>
    </row>
    <row r="225">
      <c r="A225" s="1" t="inlineStr">
        <is>
          <t>Custom PCB</t>
        </is>
      </c>
      <c r="B225" s="2" t="inlineStr">
        <is>
          <t>PCB - EOA Sprayer Protoboard assembled</t>
        </is>
      </c>
      <c r="C225" s="2" t="inlineStr">
        <is>
          <t>14-A Controller, GPIO, IMD &amp; Comms PCBs</t>
        </is>
      </c>
      <c r="D225" s="1" t="inlineStr">
        <is>
          <t>Uttez</t>
        </is>
      </c>
      <c r="E225" s="1" t="n">
        <v>2</v>
      </c>
      <c r="F225" s="1" t="inlineStr">
        <is>
          <t>India</t>
        </is>
      </c>
      <c r="G225" s="1" t="n"/>
      <c r="H225" s="1" t="inlineStr">
        <is>
          <t>No</t>
        </is>
      </c>
      <c r="I225" s="1" t="n"/>
      <c r="J225" s="1" t="n"/>
      <c r="K225" s="1" t="inlineStr">
        <is>
          <t>In stock</t>
        </is>
      </c>
      <c r="L225" s="3" t="n">
        <v>14</v>
      </c>
      <c r="M225" s="4" t="b">
        <v>0</v>
      </c>
      <c r="N225" s="3" t="n">
        <v>5</v>
      </c>
      <c r="O225" s="1" t="n"/>
      <c r="P225" s="1" t="n"/>
      <c r="Q225" s="1" t="n"/>
      <c r="R225" s="1" t="n"/>
      <c r="S225" s="1" t="inlineStr">
        <is>
          <t>Mobile (travels with robot)</t>
        </is>
      </c>
      <c r="T225" s="1" t="n"/>
      <c r="U225" s="3" t="n">
        <v>445</v>
      </c>
      <c r="V225" s="1">
        <f>IF($K225="To be purchased",COUNTIF($K$2:$K225,"To be purchased"),"")</f>
        <v/>
      </c>
    </row>
    <row r="226">
      <c r="A226" s="1" t="inlineStr">
        <is>
          <t>Custom PCB</t>
        </is>
      </c>
      <c r="B226" s="2" t="inlineStr">
        <is>
          <t>PCB - EOA Sander, EOA_SANDER_1.0</t>
        </is>
      </c>
      <c r="C226" s="2" t="inlineStr">
        <is>
          <t>14-A Controller, GPIO, IMD &amp; Comms PCBs</t>
        </is>
      </c>
      <c r="D226" s="1" t="inlineStr">
        <is>
          <t>Uttez</t>
        </is>
      </c>
      <c r="E226" s="1" t="n">
        <v>1</v>
      </c>
      <c r="F226" s="1" t="inlineStr">
        <is>
          <t>India</t>
        </is>
      </c>
      <c r="G226" s="1" t="n"/>
      <c r="H226" s="1" t="inlineStr">
        <is>
          <t>No</t>
        </is>
      </c>
      <c r="I226" s="1" t="n"/>
      <c r="J226" s="6">
        <f>IFERROR(HYPERLINK("https://docs.google.com/spreadsheets/d/10M8oEMfSST-xuPwcSARfQDNcQJ0xrCp8O9iHBGPAr34/edit?gid=1956219685&amp;range=A"&amp;MATCH("PR-2026-1553",'PR Lookup'!A:A,0),"PR-2026-1553"),"PR-2026-1553")</f>
        <v/>
      </c>
      <c r="K226" s="1" t="inlineStr">
        <is>
          <t>Payment Done</t>
        </is>
      </c>
      <c r="L226" s="3" t="n">
        <v>14</v>
      </c>
      <c r="M226" s="4" t="b">
        <v>0</v>
      </c>
      <c r="N226" s="3" t="n">
        <v>5</v>
      </c>
      <c r="O226" s="1" t="n"/>
      <c r="P226" s="1" t="n"/>
      <c r="Q226" s="1" t="n"/>
      <c r="R226" s="1" t="n"/>
      <c r="S226" s="1" t="inlineStr">
        <is>
          <t>Mobile (travels with robot)</t>
        </is>
      </c>
      <c r="T226" s="1" t="n"/>
      <c r="U226" s="3" t="n">
        <v>462</v>
      </c>
      <c r="V226" s="1">
        <f>IF($K226="To be purchased",COUNTIF($K$2:$K226,"To be purchased"),"")</f>
        <v/>
      </c>
    </row>
    <row r="227">
      <c r="A227" s="1" t="inlineStr">
        <is>
          <t>Custom PCB</t>
        </is>
      </c>
      <c r="B227" s="2" t="inlineStr">
        <is>
          <t>PCB - Assembled Tool Master - Sander, Sprayer</t>
        </is>
      </c>
      <c r="C227" s="2" t="inlineStr">
        <is>
          <t>14-A Controller, GPIO, IMD &amp; Comms PCBs</t>
        </is>
      </c>
      <c r="D227" s="1" t="inlineStr">
        <is>
          <t>Uttez</t>
        </is>
      </c>
      <c r="E227" s="1" t="n">
        <v>2</v>
      </c>
      <c r="F227" s="1" t="inlineStr">
        <is>
          <t>India</t>
        </is>
      </c>
      <c r="G227" s="1" t="n"/>
      <c r="H227" s="1" t="inlineStr">
        <is>
          <t>Yes</t>
        </is>
      </c>
      <c r="I227" s="1" t="n"/>
      <c r="J227" s="6">
        <f>IFERROR(HYPERLINK("https://docs.google.com/spreadsheets/d/10M8oEMfSST-xuPwcSARfQDNcQJ0xrCp8O9iHBGPAr34/edit?gid=1956219685&amp;range=A"&amp;MATCH("PR-2026-1557",'PR Lookup'!A:A,0),"PR-2026-1557"),"PR-2026-1557")</f>
        <v/>
      </c>
      <c r="K227" s="1" t="inlineStr">
        <is>
          <t>Payment Done</t>
        </is>
      </c>
      <c r="L227" s="3" t="n">
        <v>14</v>
      </c>
      <c r="M227" s="4" t="b">
        <v>0</v>
      </c>
      <c r="N227" s="3" t="n">
        <v>5</v>
      </c>
      <c r="O227" s="1" t="n"/>
      <c r="P227" s="1" t="inlineStr">
        <is>
          <t>Repsective fiirmwares are flashed for sander and spryaer</t>
        </is>
      </c>
      <c r="Q227" s="1" t="n"/>
      <c r="R227" s="1" t="n"/>
      <c r="S227" s="1" t="n"/>
      <c r="T227" s="1" t="n"/>
      <c r="U227" s="1" t="n"/>
      <c r="V227" s="1" t="n"/>
    </row>
    <row r="228">
      <c r="A228" s="1" t="inlineStr">
        <is>
          <t>Custom PCB</t>
        </is>
      </c>
      <c r="B228" s="2" t="inlineStr">
        <is>
          <t>PCB - Assembled Sprayer Tool Controller</t>
        </is>
      </c>
      <c r="C228" s="2" t="inlineStr">
        <is>
          <t>14-A Controller, GPIO, IMD &amp; Comms PCBs</t>
        </is>
      </c>
      <c r="D228" s="1" t="inlineStr">
        <is>
          <t>Uttez</t>
        </is>
      </c>
      <c r="E228" s="1" t="n">
        <v>1</v>
      </c>
      <c r="F228" s="1" t="inlineStr">
        <is>
          <t>India</t>
        </is>
      </c>
      <c r="G228" s="1" t="n"/>
      <c r="H228" s="1" t="inlineStr">
        <is>
          <t>Yes</t>
        </is>
      </c>
      <c r="I228" s="1" t="n"/>
      <c r="J228" s="6">
        <f>IFERROR(HYPERLINK("https://docs.google.com/spreadsheets/d/10M8oEMfSST-xuPwcSARfQDNcQJ0xrCp8O9iHBGPAr34/edit?gid=1956219685&amp;range=A"&amp;MATCH("PR-2026-1558",'PR Lookup'!A:A,0),"PR-2026-1558"),"PR-2026-1558")</f>
        <v/>
      </c>
      <c r="K228" s="1" t="inlineStr">
        <is>
          <t>Payment Done</t>
        </is>
      </c>
      <c r="L228" s="3" t="n">
        <v>14</v>
      </c>
      <c r="M228" s="4" t="b">
        <v>0</v>
      </c>
      <c r="N228" s="3" t="n">
        <v>5</v>
      </c>
      <c r="O228" s="1" t="n"/>
      <c r="P228" s="1" t="n"/>
      <c r="Q228" s="1" t="n"/>
      <c r="R228" s="1" t="n"/>
      <c r="S228" s="1" t="n"/>
      <c r="T228" s="1" t="n"/>
      <c r="U228" s="1" t="n"/>
      <c r="V228" s="1" t="n"/>
    </row>
    <row r="229">
      <c r="A229" s="1" t="inlineStr">
        <is>
          <t>Custom PCB</t>
        </is>
      </c>
      <c r="B229" s="2" t="inlineStr">
        <is>
          <t>PCB - Assembled Sander Tool Controller</t>
        </is>
      </c>
      <c r="C229" s="2" t="inlineStr">
        <is>
          <t>14-A Controller, GPIO, IMD &amp; Comms PCBs</t>
        </is>
      </c>
      <c r="D229" s="1" t="inlineStr">
        <is>
          <t>Uttez</t>
        </is>
      </c>
      <c r="E229" s="1" t="n">
        <v>1</v>
      </c>
      <c r="F229" s="1" t="inlineStr">
        <is>
          <t>India</t>
        </is>
      </c>
      <c r="G229" s="1" t="n"/>
      <c r="H229" s="1" t="inlineStr">
        <is>
          <t>Yes</t>
        </is>
      </c>
      <c r="I229" s="1" t="n"/>
      <c r="J229" s="6">
        <f>IFERROR(HYPERLINK("https://docs.google.com/spreadsheets/d/10M8oEMfSST-xuPwcSARfQDNcQJ0xrCp8O9iHBGPAr34/edit?gid=1956219685&amp;range=A"&amp;MATCH("PR-2026-1560",'PR Lookup'!A:A,0),"PR-2026-1560"),"PR-2026-1560")</f>
        <v/>
      </c>
      <c r="K229" s="1" t="inlineStr">
        <is>
          <t>Payment Done</t>
        </is>
      </c>
      <c r="L229" s="3" t="n">
        <v>14</v>
      </c>
      <c r="M229" s="4" t="b">
        <v>0</v>
      </c>
      <c r="N229" s="3" t="n">
        <v>5</v>
      </c>
      <c r="O229" s="1" t="n"/>
      <c r="P229" s="1" t="n"/>
      <c r="Q229" s="1" t="n"/>
      <c r="R229" s="1" t="n"/>
      <c r="S229" s="1" t="n"/>
      <c r="T229" s="1" t="n"/>
      <c r="U229" s="1" t="n"/>
      <c r="V229" s="1" t="n"/>
    </row>
    <row r="230">
      <c r="A230" s="1" t="inlineStr">
        <is>
          <t>Custom PCB</t>
        </is>
      </c>
      <c r="B230" s="2" t="inlineStr">
        <is>
          <t>LED Driver - NLDD-1400H</t>
        </is>
      </c>
      <c r="C230" s="2" t="inlineStr">
        <is>
          <t>14-D LED Driver Boards</t>
        </is>
      </c>
      <c r="D230" s="1" t="inlineStr">
        <is>
          <t>Badri</t>
        </is>
      </c>
      <c r="E230" s="1" t="n">
        <v>3</v>
      </c>
      <c r="F230" s="1" t="inlineStr">
        <is>
          <t>India</t>
        </is>
      </c>
      <c r="G230" s="1" t="n"/>
      <c r="H230" s="1" t="inlineStr">
        <is>
          <t>Yes</t>
        </is>
      </c>
      <c r="I230" s="5" t="n"/>
      <c r="J230" s="6">
        <f>IFERROR(HYPERLINK("https://docs.google.com/spreadsheets/d/10M8oEMfSST-xuPwcSARfQDNcQJ0xrCp8O9iHBGPAr34/edit?gid=1956219685&amp;range=A"&amp;MATCH("PR-2026-1540",'PR Lookup'!A:A,0),"PR-2026-1540"),"PR-2026-1540")</f>
        <v/>
      </c>
      <c r="K230" s="1" t="inlineStr">
        <is>
          <t>In stock</t>
        </is>
      </c>
      <c r="L230" s="3" t="n">
        <v>14</v>
      </c>
      <c r="M230" s="4" t="b">
        <v>0</v>
      </c>
      <c r="N230" s="3" t="n">
        <v>5</v>
      </c>
      <c r="O230" s="1" t="n"/>
      <c r="P230" s="1" t="n"/>
      <c r="Q230" s="1" t="n"/>
      <c r="R230" s="1" t="n"/>
      <c r="S230" s="1" t="inlineStr">
        <is>
          <t>NY Stationary (stays in NY inventory)</t>
        </is>
      </c>
      <c r="T230" s="1" t="n"/>
      <c r="U230" s="3" t="n">
        <v>97</v>
      </c>
      <c r="V230" s="1">
        <f>IF($K230="To be purchased",COUNTIF($K$2:$K230,"To be purchased"),"")</f>
        <v/>
      </c>
    </row>
    <row r="231">
      <c r="A231" s="1" t="inlineStr">
        <is>
          <t>Custom PCB</t>
        </is>
      </c>
      <c r="B231" s="2" t="inlineStr">
        <is>
          <t>Enclosure - EOA PCB (3D printed)</t>
        </is>
      </c>
      <c r="C231" s="2" t="inlineStr">
        <is>
          <t>14-F PCB Enclosures</t>
        </is>
      </c>
      <c r="D231" s="1" t="inlineStr">
        <is>
          <t>SANKALP</t>
        </is>
      </c>
      <c r="E231" s="1" t="inlineStr">
        <is>
          <t>1</t>
        </is>
      </c>
      <c r="F231" s="1" t="inlineStr">
        <is>
          <t>India</t>
        </is>
      </c>
      <c r="G231" s="1" t="n"/>
      <c r="H231" s="1" t="inlineStr">
        <is>
          <t>No</t>
        </is>
      </c>
      <c r="I231" s="1" t="n"/>
      <c r="J231" s="1" t="n"/>
      <c r="K231" s="1" t="inlineStr">
        <is>
          <t>To be Printed</t>
        </is>
      </c>
      <c r="L231" s="3" t="n">
        <v>14</v>
      </c>
      <c r="M231" s="4" t="b">
        <v>0</v>
      </c>
      <c r="N231" s="3" t="n">
        <v>5</v>
      </c>
      <c r="O231" s="1" t="n"/>
      <c r="P231" s="1" t="n"/>
      <c r="Q231" s="1" t="inlineStr">
        <is>
          <t>EOA PCB ENCLOSURE</t>
        </is>
      </c>
      <c r="R231" s="1" t="n"/>
      <c r="S231" s="1" t="n"/>
      <c r="T231" s="1" t="n"/>
      <c r="U231" s="3" t="n">
        <v>424</v>
      </c>
      <c r="V231" s="1">
        <f>IF($K231="To be purchased",COUNTIF($K$2:$K231,"To be purchased"),"")</f>
        <v/>
      </c>
    </row>
    <row r="232">
      <c r="A232" s="13" t="inlineStr">
        <is>
          <t>Mechanical EOA</t>
        </is>
      </c>
      <c r="B232" s="2" t="inlineStr">
        <is>
          <t>Printed Part - SPR EoA Base</t>
        </is>
      </c>
      <c r="C232" s="2" t="inlineStr">
        <is>
          <t>15-A EOA Printed Parts - Sprayer</t>
        </is>
      </c>
      <c r="D232" s="1" t="inlineStr">
        <is>
          <t>Anand</t>
        </is>
      </c>
      <c r="E232" s="1" t="inlineStr">
        <is>
          <t>1</t>
        </is>
      </c>
      <c r="F232" s="1" t="inlineStr">
        <is>
          <t>India</t>
        </is>
      </c>
      <c r="G232" s="1" t="n"/>
      <c r="H232" s="1" t="inlineStr">
        <is>
          <t>No</t>
        </is>
      </c>
      <c r="I232" s="1" t="n"/>
      <c r="J232" s="1" t="n"/>
      <c r="K232" s="1" t="inlineStr">
        <is>
          <t>In stock</t>
        </is>
      </c>
      <c r="L232" s="14" t="n">
        <v>15</v>
      </c>
      <c r="M232" s="4" t="b">
        <v>0</v>
      </c>
      <c r="N232" s="3" t="n">
        <v>6</v>
      </c>
      <c r="O232" s="1" t="n"/>
      <c r="P232" s="1" t="n"/>
      <c r="Q232" s="1" t="n"/>
      <c r="R232" s="1" t="n"/>
      <c r="S232" s="1" t="n"/>
      <c r="T232" s="2" t="inlineStr">
        <is>
          <t>[BOX CHANGED: 16 Mechanical parts -&gt; 15 Mechanical EOA]</t>
        </is>
      </c>
      <c r="U232" s="3" t="n">
        <v>372</v>
      </c>
      <c r="V232" s="1">
        <f>IF($K232="To be purchased",COUNTIF($K$2:$K232,"To be purchased"),"")</f>
        <v/>
      </c>
    </row>
    <row r="233">
      <c r="A233" s="13" t="inlineStr">
        <is>
          <t>Mechanical EOA</t>
        </is>
      </c>
      <c r="B233" s="2" t="inlineStr">
        <is>
          <t>Printed Part - SPR EoA Camera Mount</t>
        </is>
      </c>
      <c r="C233" s="2" t="inlineStr">
        <is>
          <t>15-A EOA Printed Parts - Sprayer</t>
        </is>
      </c>
      <c r="D233" s="1" t="inlineStr">
        <is>
          <t>Anand</t>
        </is>
      </c>
      <c r="E233" s="1" t="inlineStr">
        <is>
          <t>1</t>
        </is>
      </c>
      <c r="F233" s="1" t="inlineStr">
        <is>
          <t>India</t>
        </is>
      </c>
      <c r="G233" s="1" t="n"/>
      <c r="H233" s="1" t="inlineStr">
        <is>
          <t>No</t>
        </is>
      </c>
      <c r="I233" s="1" t="n"/>
      <c r="J233" s="1" t="n"/>
      <c r="K233" s="1" t="inlineStr">
        <is>
          <t>In stock</t>
        </is>
      </c>
      <c r="L233" s="14" t="n">
        <v>15</v>
      </c>
      <c r="M233" s="4" t="b">
        <v>0</v>
      </c>
      <c r="N233" s="3" t="n">
        <v>6</v>
      </c>
      <c r="O233" s="1" t="n"/>
      <c r="P233" s="1" t="n"/>
      <c r="Q233" s="1" t="n"/>
      <c r="R233" s="1" t="n"/>
      <c r="S233" s="1" t="n"/>
      <c r="T233" s="2" t="inlineStr">
        <is>
          <t>[BOX CHANGED: 12 Actuators -&gt; 15 Mechanical EOA]</t>
        </is>
      </c>
      <c r="U233" s="3" t="n">
        <v>373</v>
      </c>
      <c r="V233" s="1">
        <f>IF($K233="To be purchased",COUNTIF($K$2:$K233,"To be purchased"),"")</f>
        <v/>
      </c>
    </row>
    <row r="234">
      <c r="A234" s="1" t="inlineStr">
        <is>
          <t>Mechanical EOA</t>
        </is>
      </c>
      <c r="B234" s="2" t="inlineStr">
        <is>
          <t>Printed Part - SPR EoA PCB Box</t>
        </is>
      </c>
      <c r="C234" s="2" t="inlineStr">
        <is>
          <t>15-A EOA Printed Parts - Sprayer</t>
        </is>
      </c>
      <c r="D234" s="1" t="inlineStr">
        <is>
          <t>Anand</t>
        </is>
      </c>
      <c r="E234" s="1" t="inlineStr">
        <is>
          <t>1</t>
        </is>
      </c>
      <c r="F234" s="1" t="inlineStr">
        <is>
          <t>India</t>
        </is>
      </c>
      <c r="G234" s="1" t="n"/>
      <c r="H234" s="1" t="inlineStr">
        <is>
          <t>No</t>
        </is>
      </c>
      <c r="I234" s="1" t="n"/>
      <c r="J234" s="1" t="n"/>
      <c r="K234" s="1" t="inlineStr">
        <is>
          <t>In stock</t>
        </is>
      </c>
      <c r="L234" s="3" t="n">
        <v>15</v>
      </c>
      <c r="M234" s="4" t="b">
        <v>0</v>
      </c>
      <c r="N234" s="3" t="n">
        <v>6</v>
      </c>
      <c r="O234" s="1" t="n"/>
      <c r="P234" s="1" t="n"/>
      <c r="Q234" s="1" t="n"/>
      <c r="R234" s="1" t="n"/>
      <c r="S234" s="1" t="n"/>
      <c r="T234" s="1" t="n"/>
      <c r="U234" s="3" t="n">
        <v>374</v>
      </c>
      <c r="V234" s="1">
        <f>IF($K234="To be purchased",COUNTIF($K$2:$K234,"To be purchased"),"")</f>
        <v/>
      </c>
    </row>
    <row r="235">
      <c r="A235" s="1" t="inlineStr">
        <is>
          <t>Mechanical EOA</t>
        </is>
      </c>
      <c r="B235" s="2" t="inlineStr">
        <is>
          <t>Printed Part - SPR EoA PCB Lid</t>
        </is>
      </c>
      <c r="C235" s="2" t="inlineStr">
        <is>
          <t>15-A EOA Printed Parts - Sprayer</t>
        </is>
      </c>
      <c r="D235" s="1" t="inlineStr">
        <is>
          <t>Anand</t>
        </is>
      </c>
      <c r="E235" s="1" t="inlineStr">
        <is>
          <t>1</t>
        </is>
      </c>
      <c r="F235" s="1" t="inlineStr">
        <is>
          <t>India</t>
        </is>
      </c>
      <c r="G235" s="1" t="n"/>
      <c r="H235" s="1" t="inlineStr">
        <is>
          <t>No</t>
        </is>
      </c>
      <c r="I235" s="1" t="n"/>
      <c r="J235" s="1" t="n"/>
      <c r="K235" s="1" t="inlineStr">
        <is>
          <t>In stock</t>
        </is>
      </c>
      <c r="L235" s="3" t="n">
        <v>15</v>
      </c>
      <c r="M235" s="4" t="b">
        <v>0</v>
      </c>
      <c r="N235" s="3" t="n">
        <v>6</v>
      </c>
      <c r="O235" s="1" t="n"/>
      <c r="P235" s="1" t="n"/>
      <c r="Q235" s="1" t="n"/>
      <c r="R235" s="1" t="n"/>
      <c r="S235" s="1" t="n"/>
      <c r="T235" s="1" t="n"/>
      <c r="U235" s="3" t="n">
        <v>375</v>
      </c>
      <c r="V235" s="1">
        <f>IF($K235="To be purchased",COUNTIF($K$2:$K235,"To be purchased"),"")</f>
        <v/>
      </c>
    </row>
    <row r="236">
      <c r="A236" s="1" t="inlineStr">
        <is>
          <t>Mechanical EOA</t>
        </is>
      </c>
      <c r="B236" s="2" t="inlineStr">
        <is>
          <t>Printed Part - SPR EoA Camera Stress Relief Base</t>
        </is>
      </c>
      <c r="C236" s="2" t="inlineStr">
        <is>
          <t>15-A EOA Printed Parts - Sprayer</t>
        </is>
      </c>
      <c r="D236" s="1" t="inlineStr">
        <is>
          <t>Anand</t>
        </is>
      </c>
      <c r="E236" s="1" t="inlineStr">
        <is>
          <t>1</t>
        </is>
      </c>
      <c r="F236" s="1" t="inlineStr">
        <is>
          <t>India</t>
        </is>
      </c>
      <c r="G236" s="1" t="n"/>
      <c r="H236" s="1" t="inlineStr">
        <is>
          <t>No</t>
        </is>
      </c>
      <c r="I236" s="1" t="n"/>
      <c r="J236" s="1" t="n"/>
      <c r="K236" s="1" t="inlineStr">
        <is>
          <t>In stock</t>
        </is>
      </c>
      <c r="L236" s="3" t="n">
        <v>15</v>
      </c>
      <c r="M236" s="4" t="b">
        <v>0</v>
      </c>
      <c r="N236" s="3" t="n">
        <v>6</v>
      </c>
      <c r="O236" s="1" t="n"/>
      <c r="P236" s="1" t="n"/>
      <c r="Q236" s="1" t="n"/>
      <c r="R236" s="1" t="n"/>
      <c r="S236" s="1" t="n"/>
      <c r="T236" s="1" t="n"/>
      <c r="U236" s="3" t="n">
        <v>376</v>
      </c>
      <c r="V236" s="1">
        <f>IF($K236="To be purchased",COUNTIF($K$2:$K236,"To be purchased"),"")</f>
        <v/>
      </c>
    </row>
    <row r="237">
      <c r="A237" s="1" t="inlineStr">
        <is>
          <t>Mechanical EOA</t>
        </is>
      </c>
      <c r="B237" s="2" t="inlineStr">
        <is>
          <t>Printed Part - SPR EoA Camera Stress Relief Lid</t>
        </is>
      </c>
      <c r="C237" s="2" t="inlineStr">
        <is>
          <t>15-A EOA Printed Parts - Sprayer</t>
        </is>
      </c>
      <c r="D237" s="1" t="inlineStr">
        <is>
          <t>Anand</t>
        </is>
      </c>
      <c r="E237" s="1" t="inlineStr">
        <is>
          <t>1</t>
        </is>
      </c>
      <c r="F237" s="1" t="inlineStr">
        <is>
          <t>India</t>
        </is>
      </c>
      <c r="G237" s="1" t="n"/>
      <c r="H237" s="1" t="inlineStr">
        <is>
          <t>No</t>
        </is>
      </c>
      <c r="I237" s="1" t="n"/>
      <c r="J237" s="1" t="n"/>
      <c r="K237" s="1" t="inlineStr">
        <is>
          <t>In stock</t>
        </is>
      </c>
      <c r="L237" s="3" t="n">
        <v>15</v>
      </c>
      <c r="M237" s="4" t="b">
        <v>0</v>
      </c>
      <c r="N237" s="3" t="n">
        <v>6</v>
      </c>
      <c r="O237" s="1" t="n"/>
      <c r="P237" s="1" t="n"/>
      <c r="Q237" s="1" t="n"/>
      <c r="R237" s="1" t="n"/>
      <c r="S237" s="1" t="n"/>
      <c r="T237" s="1" t="n"/>
      <c r="U237" s="3" t="n">
        <v>377</v>
      </c>
      <c r="V237" s="1">
        <f>IF($K237="To be purchased",COUNTIF($K$2:$K237,"To be purchased"),"")</f>
        <v/>
      </c>
    </row>
    <row r="238">
      <c r="A238" s="1" t="inlineStr">
        <is>
          <t>Mechanical EOA</t>
        </is>
      </c>
      <c r="B238" s="2" t="inlineStr">
        <is>
          <t>Printed Part - SPR EoA Camera Cover</t>
        </is>
      </c>
      <c r="C238" s="2" t="inlineStr">
        <is>
          <t>15-A EOA Printed Parts - Sprayer</t>
        </is>
      </c>
      <c r="D238" s="1" t="inlineStr">
        <is>
          <t>Anand</t>
        </is>
      </c>
      <c r="E238" s="1" t="inlineStr">
        <is>
          <t>1</t>
        </is>
      </c>
      <c r="F238" s="1" t="inlineStr">
        <is>
          <t>India</t>
        </is>
      </c>
      <c r="G238" s="1" t="n"/>
      <c r="H238" s="1" t="inlineStr">
        <is>
          <t>No</t>
        </is>
      </c>
      <c r="I238" s="1" t="n"/>
      <c r="J238" s="1" t="n"/>
      <c r="K238" s="1" t="inlineStr">
        <is>
          <t>In stock</t>
        </is>
      </c>
      <c r="L238" s="3" t="n">
        <v>15</v>
      </c>
      <c r="M238" s="4" t="b">
        <v>0</v>
      </c>
      <c r="N238" s="3" t="n">
        <v>6</v>
      </c>
      <c r="O238" s="1" t="n"/>
      <c r="P238" s="1" t="n"/>
      <c r="Q238" s="1" t="n"/>
      <c r="R238" s="1" t="n"/>
      <c r="S238" s="1" t="n"/>
      <c r="T238" s="1" t="n"/>
      <c r="U238" s="3" t="n">
        <v>378</v>
      </c>
      <c r="V238" s="1">
        <f>IF($K238="To be purchased",COUNTIF($K$2:$K238,"To be purchased"),"")</f>
        <v/>
      </c>
    </row>
    <row r="239">
      <c r="A239" s="13" t="inlineStr">
        <is>
          <t>Mechanical EOA</t>
        </is>
      </c>
      <c r="B239" s="2" t="inlineStr">
        <is>
          <t>Printed Part - EOA Camera Housing, TPU</t>
        </is>
      </c>
      <c r="C239" s="2" t="inlineStr">
        <is>
          <t>15-B EOA Printed Parts - Sander</t>
        </is>
      </c>
      <c r="D239" s="1" t="inlineStr">
        <is>
          <t>SANKALP</t>
        </is>
      </c>
      <c r="E239" s="1" t="inlineStr">
        <is>
          <t>1</t>
        </is>
      </c>
      <c r="F239" s="1" t="inlineStr">
        <is>
          <t>India</t>
        </is>
      </c>
      <c r="G239" s="1" t="n"/>
      <c r="H239" s="1" t="inlineStr">
        <is>
          <t>No</t>
        </is>
      </c>
      <c r="I239" s="1" t="n"/>
      <c r="J239" s="1" t="n"/>
      <c r="K239" s="1" t="inlineStr">
        <is>
          <t>To be Printed</t>
        </is>
      </c>
      <c r="L239" s="14" t="n">
        <v>15</v>
      </c>
      <c r="M239" s="4" t="b">
        <v>0</v>
      </c>
      <c r="N239" s="3" t="n">
        <v>6</v>
      </c>
      <c r="O239" s="1" t="n"/>
      <c r="P239" s="1" t="n"/>
      <c r="Q239" s="1" t="inlineStr">
        <is>
          <t>EOA CAMERA TPU.step</t>
        </is>
      </c>
      <c r="R239" s="1" t="n"/>
      <c r="S239" s="1" t="n"/>
      <c r="T239" s="2" t="inlineStr">
        <is>
          <t>[BOX CHANGED: 11 Sensors -&gt; 15 Mechanical EOA]</t>
        </is>
      </c>
      <c r="U239" s="3" t="n">
        <v>421</v>
      </c>
      <c r="V239" s="1">
        <f>IF($K239="To be purchased",COUNTIF($K$2:$K239,"To be purchased"),"")</f>
        <v/>
      </c>
    </row>
    <row r="240">
      <c r="A240" s="1" t="inlineStr">
        <is>
          <t>Mechanical EOA</t>
        </is>
      </c>
      <c r="B240" s="2" t="inlineStr">
        <is>
          <t>Printed Part - EOA Sander Mount</t>
        </is>
      </c>
      <c r="C240" s="2" t="inlineStr">
        <is>
          <t>15-B EOA Printed Parts - Sander</t>
        </is>
      </c>
      <c r="D240" s="1" t="inlineStr">
        <is>
          <t>SANKALP</t>
        </is>
      </c>
      <c r="E240" s="1" t="inlineStr">
        <is>
          <t>1</t>
        </is>
      </c>
      <c r="F240" s="1" t="inlineStr">
        <is>
          <t>India</t>
        </is>
      </c>
      <c r="G240" s="1" t="n"/>
      <c r="H240" s="1" t="inlineStr">
        <is>
          <t>No</t>
        </is>
      </c>
      <c r="I240" s="1" t="n"/>
      <c r="J240" s="1" t="n"/>
      <c r="K240" s="1" t="inlineStr">
        <is>
          <t>To be Printed</t>
        </is>
      </c>
      <c r="L240" s="3" t="n">
        <v>15</v>
      </c>
      <c r="M240" s="4" t="b">
        <v>0</v>
      </c>
      <c r="N240" s="3" t="n">
        <v>6</v>
      </c>
      <c r="O240" s="1" t="n"/>
      <c r="P240" s="1" t="n"/>
      <c r="Q240" s="1" t="inlineStr">
        <is>
          <t>EOA SANDER MOUNT.step</t>
        </is>
      </c>
      <c r="R240" s="1" t="n"/>
      <c r="S240" s="1" t="n"/>
      <c r="T240" s="1" t="n"/>
      <c r="U240" s="3" t="n">
        <v>422</v>
      </c>
      <c r="V240" s="1">
        <f>IF($K240="To be purchased",COUNTIF($K$2:$K240,"To be purchased"),"")</f>
        <v/>
      </c>
    </row>
    <row r="241">
      <c r="A241" s="17" t="inlineStr">
        <is>
          <t>Mechanical EOA</t>
        </is>
      </c>
      <c r="B241" s="18" t="inlineStr">
        <is>
          <t>Mount - EOA Light (3D printed)</t>
        </is>
      </c>
      <c r="C241" s="18" t="inlineStr">
        <is>
          <t>15-B EOA Printed Parts - Sander</t>
        </is>
      </c>
      <c r="D241" s="17" t="inlineStr">
        <is>
          <t>SANKALP</t>
        </is>
      </c>
      <c r="E241" s="17" t="inlineStr">
        <is>
          <t>1</t>
        </is>
      </c>
      <c r="F241" s="17" t="inlineStr">
        <is>
          <t>India</t>
        </is>
      </c>
      <c r="G241" s="17" t="n"/>
      <c r="H241" s="17" t="inlineStr">
        <is>
          <t>No</t>
        </is>
      </c>
      <c r="I241" s="17" t="n"/>
      <c r="J241" s="17" t="n"/>
      <c r="K241" s="17" t="inlineStr">
        <is>
          <t>To be Printed</t>
        </is>
      </c>
      <c r="L241" s="19" t="n">
        <v>15</v>
      </c>
      <c r="M241" s="20" t="b">
        <v>0</v>
      </c>
      <c r="N241" s="19" t="n">
        <v>6</v>
      </c>
      <c r="O241" s="17" t="n"/>
      <c r="P241" s="17" t="n"/>
      <c r="Q241" s="17" t="inlineStr">
        <is>
          <t>EOA LIGHT MOUNT</t>
        </is>
      </c>
      <c r="R241" s="17" t="n"/>
      <c r="S241" s="17" t="n"/>
      <c r="T241" s="18" t="inlineStr">
        <is>
          <t>[POSSIBLE DUPLICATE of source row 458. Previous status: To be Printed]</t>
        </is>
      </c>
      <c r="U241" s="19" t="n">
        <v>425</v>
      </c>
      <c r="V241" s="17">
        <f>IF($K241="To be purchased",COUNTIF($K$2:$K241,"To be purchased"),"")</f>
        <v/>
      </c>
    </row>
    <row r="242">
      <c r="A242" s="1" t="inlineStr">
        <is>
          <t>Mechanical EOA</t>
        </is>
      </c>
      <c r="B242" s="2" t="inlineStr">
        <is>
          <t>Printed Part - EOA Sander U-Part</t>
        </is>
      </c>
      <c r="C242" s="2" t="inlineStr">
        <is>
          <t>15-B EOA Printed Parts - Sander</t>
        </is>
      </c>
      <c r="D242" s="1" t="inlineStr">
        <is>
          <t>SANKALP</t>
        </is>
      </c>
      <c r="E242" s="1" t="inlineStr">
        <is>
          <t>1</t>
        </is>
      </c>
      <c r="F242" s="1" t="inlineStr">
        <is>
          <t>India</t>
        </is>
      </c>
      <c r="G242" s="1" t="n"/>
      <c r="H242" s="1" t="inlineStr">
        <is>
          <t>No</t>
        </is>
      </c>
      <c r="I242" s="1" t="n"/>
      <c r="J242" s="1" t="n"/>
      <c r="K242" s="1" t="inlineStr">
        <is>
          <t>To be Printed</t>
        </is>
      </c>
      <c r="L242" s="3" t="n">
        <v>15</v>
      </c>
      <c r="M242" s="4" t="b">
        <v>0</v>
      </c>
      <c r="N242" s="3" t="n">
        <v>6</v>
      </c>
      <c r="O242" s="1" t="n"/>
      <c r="P242" s="1" t="n"/>
      <c r="Q242" s="1" t="inlineStr">
        <is>
          <t>EOA SANDER U-PART.step</t>
        </is>
      </c>
      <c r="R242" s="1" t="n"/>
      <c r="S242" s="1" t="n"/>
      <c r="T242" s="1" t="n"/>
      <c r="U242" s="3" t="n">
        <v>429</v>
      </c>
      <c r="V242" s="1">
        <f>IF($K242="To be purchased",COUNTIF($K$2:$K242,"To be purchased"),"")</f>
        <v/>
      </c>
    </row>
    <row r="243">
      <c r="A243" s="1" t="inlineStr">
        <is>
          <t>Mechanical EOA</t>
        </is>
      </c>
      <c r="B243" s="2" t="inlineStr">
        <is>
          <t>Printed Part - EOA D1 Spec Housing</t>
        </is>
      </c>
      <c r="C243" s="2" t="inlineStr">
        <is>
          <t>15-C EOA Printed Parts - Common</t>
        </is>
      </c>
      <c r="D243" s="1" t="inlineStr">
        <is>
          <t>Kaustubh</t>
        </is>
      </c>
      <c r="E243" s="1" t="inlineStr">
        <is>
          <t>2</t>
        </is>
      </c>
      <c r="F243" s="1" t="inlineStr">
        <is>
          <t>Buy in US</t>
        </is>
      </c>
      <c r="G243" s="1" t="n"/>
      <c r="H243" s="1" t="inlineStr">
        <is>
          <t>No</t>
        </is>
      </c>
      <c r="I243" s="1" t="n"/>
      <c r="J243" s="1" t="n"/>
      <c r="K243" s="1" t="inlineStr">
        <is>
          <t>To be Printed</t>
        </is>
      </c>
      <c r="L243" s="3" t="n">
        <v>15</v>
      </c>
      <c r="M243" s="4" t="b">
        <v>0</v>
      </c>
      <c r="N243" s="3" t="n">
        <v>6</v>
      </c>
      <c r="O243" s="1" t="n"/>
      <c r="P243" s="1" t="n"/>
      <c r="Q243" s="1" t="n"/>
      <c r="R243" s="1" t="n"/>
      <c r="S243" s="1" t="inlineStr">
        <is>
          <t>Mobile (travels with robot)</t>
        </is>
      </c>
      <c r="T243" s="2" t="inlineStr">
        <is>
          <t>grouping auto-assigned - please verify.</t>
        </is>
      </c>
      <c r="U243" s="3" t="n">
        <v>105</v>
      </c>
      <c r="V243" s="1">
        <f>IF($K243="To be purchased",COUNTIF($K$2:$K243,"To be purchased"),"")</f>
        <v/>
      </c>
    </row>
    <row r="244">
      <c r="A244" s="1" t="inlineStr">
        <is>
          <t>Mechanical EOA</t>
        </is>
      </c>
      <c r="B244" s="2" t="inlineStr">
        <is>
          <t>Ring - EOA Compliance (3D printed)</t>
        </is>
      </c>
      <c r="C244" s="2" t="inlineStr">
        <is>
          <t>15-D EOA Compliance Ring &amp; Springs</t>
        </is>
      </c>
      <c r="D244" s="1" t="inlineStr">
        <is>
          <t>SANKALP</t>
        </is>
      </c>
      <c r="E244" s="1" t="inlineStr">
        <is>
          <t>1</t>
        </is>
      </c>
      <c r="F244" s="1" t="inlineStr">
        <is>
          <t>India</t>
        </is>
      </c>
      <c r="G244" s="1" t="n"/>
      <c r="H244" s="1" t="inlineStr">
        <is>
          <t>No</t>
        </is>
      </c>
      <c r="I244" s="1" t="n"/>
      <c r="J244" s="1" t="n"/>
      <c r="K244" s="1" t="inlineStr">
        <is>
          <t>To be Printed</t>
        </is>
      </c>
      <c r="L244" s="3" t="n">
        <v>15</v>
      </c>
      <c r="M244" s="4" t="b">
        <v>0</v>
      </c>
      <c r="N244" s="3" t="n">
        <v>6</v>
      </c>
      <c r="O244" s="1" t="n"/>
      <c r="P244" s="1" t="n"/>
      <c r="Q244" s="1" t="inlineStr">
        <is>
          <t>Complaince Ring.step</t>
        </is>
      </c>
      <c r="R244" s="1" t="n"/>
      <c r="S244" s="1" t="n"/>
      <c r="T244" s="1" t="n"/>
      <c r="U244" s="3" t="n">
        <v>428</v>
      </c>
      <c r="V244" s="1">
        <f>IF($K244="To be purchased",COUNTIF($K$2:$K244,"To be purchased"),"")</f>
        <v/>
      </c>
    </row>
    <row r="245">
      <c r="A245" s="1" t="inlineStr">
        <is>
          <t>Mechanical EOA</t>
        </is>
      </c>
      <c r="B245" s="2" t="inlineStr">
        <is>
          <t>Spring - EOA Compliance, 8 x 0.55 x 35 mm</t>
        </is>
      </c>
      <c r="C245" s="2" t="inlineStr">
        <is>
          <t>15-D EOA Compliance Ring &amp; Springs</t>
        </is>
      </c>
      <c r="D245" s="1" t="inlineStr">
        <is>
          <t>SANKALP</t>
        </is>
      </c>
      <c r="E245" s="1" t="inlineStr">
        <is>
          <t>12</t>
        </is>
      </c>
      <c r="F245" s="1" t="inlineStr">
        <is>
          <t>India</t>
        </is>
      </c>
      <c r="G245" s="1" t="n"/>
      <c r="H245" s="1" t="inlineStr">
        <is>
          <t>No</t>
        </is>
      </c>
      <c r="I245" s="1" t="n"/>
      <c r="J245" s="1" t="n"/>
      <c r="K245" s="1" t="inlineStr">
        <is>
          <t>In stock</t>
        </is>
      </c>
      <c r="L245" s="3" t="n">
        <v>15</v>
      </c>
      <c r="M245" s="4" t="b">
        <v>0</v>
      </c>
      <c r="N245" s="3" t="n">
        <v>6</v>
      </c>
      <c r="O245" s="1" t="n"/>
      <c r="P245" s="1" t="n"/>
      <c r="Q245" s="1" t="n"/>
      <c r="R245" s="1" t="n"/>
      <c r="S245" s="1" t="n"/>
      <c r="T245" s="1" t="n"/>
      <c r="U245" s="3" t="n">
        <v>436</v>
      </c>
      <c r="V245" s="1">
        <f>IF($K245="To be purchased",COUNTIF($K$2:$K245,"To be purchased"),"")</f>
        <v/>
      </c>
    </row>
    <row r="246">
      <c r="A246" s="1" t="inlineStr">
        <is>
          <t>Mechanical EOA</t>
        </is>
      </c>
      <c r="B246" s="2" t="inlineStr">
        <is>
          <t>Heatsink - 10 x 10 mm - EOA lights</t>
        </is>
      </c>
      <c r="C246" s="2" t="inlineStr">
        <is>
          <t>15-E EOA Heatsinks</t>
        </is>
      </c>
      <c r="D246" s="1" t="inlineStr">
        <is>
          <t>SANKALP</t>
        </is>
      </c>
      <c r="E246" s="1" t="inlineStr">
        <is>
          <t>20</t>
        </is>
      </c>
      <c r="F246" s="1" t="inlineStr">
        <is>
          <t>India</t>
        </is>
      </c>
      <c r="G246" s="1" t="n"/>
      <c r="H246" s="1" t="inlineStr">
        <is>
          <t>No</t>
        </is>
      </c>
      <c r="I246" s="5" t="n"/>
      <c r="J246" s="6">
        <f>IFERROR(HYPERLINK("https://docs.google.com/spreadsheets/d/10M8oEMfSST-xuPwcSARfQDNcQJ0xrCp8O9iHBGPAr34/edit?gid=1956219685&amp;range=A"&amp;MATCH("PR-2026-1670",'PR Lookup'!A:A,0),"PR-2026-1670"),"PR-2026-1670")</f>
        <v/>
      </c>
      <c r="K246" s="1" t="inlineStr">
        <is>
          <t>PR Raised</t>
        </is>
      </c>
      <c r="L246" s="3" t="n">
        <v>15</v>
      </c>
      <c r="M246" s="4" t="b">
        <v>0</v>
      </c>
      <c r="N246" s="3" t="n">
        <v>6</v>
      </c>
      <c r="O246" s="1" t="n"/>
      <c r="P246" s="1" t="n"/>
      <c r="Q246" s="1" t="inlineStr">
        <is>
          <t>LINK</t>
        </is>
      </c>
      <c r="R246" s="1" t="n"/>
      <c r="S246" s="1" t="n"/>
      <c r="T246" s="1" t="n"/>
      <c r="U246" s="3" t="n">
        <v>434</v>
      </c>
      <c r="V246" s="1">
        <f>IF($K246="To be purchased",COUNTIF($K$2:$K246,"To be purchased"),"")</f>
        <v/>
      </c>
    </row>
    <row r="247">
      <c r="A247" s="13" t="inlineStr">
        <is>
          <t>Mechanical EOA</t>
        </is>
      </c>
      <c r="B247" s="2" t="inlineStr">
        <is>
          <t>Bolt - Socket Cap (SHCS), EoA Assorted Set (M5x35 x4, M5x25 x2, M4x40 x2, M4x16 x4)</t>
        </is>
      </c>
      <c r="C247" s="2" t="inlineStr">
        <is>
          <t>15-F EOA Fasteners</t>
        </is>
      </c>
      <c r="D247" s="1" t="inlineStr">
        <is>
          <t>Anand</t>
        </is>
      </c>
      <c r="E247" s="1" t="inlineStr">
        <is>
          <t>12</t>
        </is>
      </c>
      <c r="F247" s="1" t="inlineStr">
        <is>
          <t>India</t>
        </is>
      </c>
      <c r="G247" s="1" t="n"/>
      <c r="H247" s="1" t="inlineStr">
        <is>
          <t>No</t>
        </is>
      </c>
      <c r="I247" s="1" t="n"/>
      <c r="J247" s="1" t="n"/>
      <c r="K247" s="1" t="inlineStr">
        <is>
          <t>In stock</t>
        </is>
      </c>
      <c r="L247" s="14" t="n">
        <v>15</v>
      </c>
      <c r="M247" s="4" t="b">
        <v>0</v>
      </c>
      <c r="N247" s="3" t="n">
        <v>6</v>
      </c>
      <c r="O247" s="1" t="n"/>
      <c r="P247" s="1" t="n"/>
      <c r="Q247" s="1" t="n"/>
      <c r="R247" s="1" t="n"/>
      <c r="S247" s="1" t="n"/>
      <c r="T247" s="2" t="inlineStr">
        <is>
          <t>[BOX CHANGED: 16 Mechanical parts -&gt; 15 Mechanical EOA]</t>
        </is>
      </c>
      <c r="U247" s="3" t="n">
        <v>410</v>
      </c>
      <c r="V247" s="1">
        <f>IF($K247="To be purchased",COUNTIF($K$2:$K247,"To be purchased"),"")</f>
        <v/>
      </c>
    </row>
    <row r="248">
      <c r="A248" s="13" t="inlineStr">
        <is>
          <t>Mechanical EOA</t>
        </is>
      </c>
      <c r="B248" s="2" t="inlineStr">
        <is>
          <t>Nut - Nylon Lock, EoA Assorted Set (M5 x6, M4 x6)</t>
        </is>
      </c>
      <c r="C248" s="2" t="inlineStr">
        <is>
          <t>15-F EOA Fasteners</t>
        </is>
      </c>
      <c r="D248" s="1" t="inlineStr">
        <is>
          <t>Anand</t>
        </is>
      </c>
      <c r="E248" s="1" t="inlineStr">
        <is>
          <t>12</t>
        </is>
      </c>
      <c r="F248" s="1" t="inlineStr">
        <is>
          <t>India</t>
        </is>
      </c>
      <c r="G248" s="1" t="n"/>
      <c r="H248" s="1" t="inlineStr">
        <is>
          <t>No</t>
        </is>
      </c>
      <c r="I248" s="1" t="n"/>
      <c r="J248" s="1" t="n"/>
      <c r="K248" s="1" t="inlineStr">
        <is>
          <t>In stock</t>
        </is>
      </c>
      <c r="L248" s="14" t="n">
        <v>15</v>
      </c>
      <c r="M248" s="4" t="b">
        <v>0</v>
      </c>
      <c r="N248" s="3" t="n">
        <v>6</v>
      </c>
      <c r="O248" s="1" t="n"/>
      <c r="P248" s="1" t="n"/>
      <c r="Q248" s="1" t="n"/>
      <c r="R248" s="1" t="n"/>
      <c r="S248" s="1" t="n"/>
      <c r="T248" s="2" t="inlineStr">
        <is>
          <t>[BOX CHANGED: 16 Mechanical parts -&gt; 15 Mechanical EOA] Also stocked in: Tool Spares / Sander MBOM. Kept separate on purpose - one per box.</t>
        </is>
      </c>
      <c r="U248" s="3" t="n">
        <v>411</v>
      </c>
      <c r="V248" s="1">
        <f>IF($K248="To be purchased",COUNTIF($K$2:$K248,"To be purchased"),"")</f>
        <v/>
      </c>
    </row>
    <row r="249">
      <c r="A249" s="1" t="inlineStr">
        <is>
          <t>Mechanical EOA</t>
        </is>
      </c>
      <c r="B249" s="2" t="inlineStr">
        <is>
          <t>Mount - SPR TSM Cable Track, 18 x 37 mm</t>
        </is>
      </c>
      <c r="C249" s="2" t="inlineStr">
        <is>
          <t>15-G EOA Cable Track &amp; Hose Routing</t>
        </is>
      </c>
      <c r="D249" s="1" t="inlineStr">
        <is>
          <t>Anand</t>
        </is>
      </c>
      <c r="E249" s="1" t="inlineStr">
        <is>
          <t>1</t>
        </is>
      </c>
      <c r="F249" s="1" t="inlineStr">
        <is>
          <t>India</t>
        </is>
      </c>
      <c r="G249" s="1" t="n"/>
      <c r="H249" s="1" t="inlineStr">
        <is>
          <t>No</t>
        </is>
      </c>
      <c r="I249" s="1" t="n"/>
      <c r="J249" s="1" t="n"/>
      <c r="K249" s="1" t="inlineStr">
        <is>
          <t>To be Printed</t>
        </is>
      </c>
      <c r="L249" s="3" t="n">
        <v>15</v>
      </c>
      <c r="M249" s="4" t="b">
        <v>0</v>
      </c>
      <c r="N249" s="3" t="n">
        <v>6</v>
      </c>
      <c r="O249" s="1" t="n"/>
      <c r="P249" s="1" t="n"/>
      <c r="Q249" s="1" t="n"/>
      <c r="R249" s="1" t="n"/>
      <c r="S249" s="1" t="n"/>
      <c r="T249" s="1" t="n"/>
      <c r="U249" s="3" t="n">
        <v>379</v>
      </c>
      <c r="V249" s="1">
        <f>IF($K249="To be purchased",COUNTIF($K$2:$K249,"To be purchased"),"")</f>
        <v/>
      </c>
    </row>
    <row r="250">
      <c r="A250" s="1" t="inlineStr">
        <is>
          <t>Mechanical EOA</t>
        </is>
      </c>
      <c r="B250" s="2" t="inlineStr">
        <is>
          <t>Mount - SPR TSM Cable Track, 15 x 20 mm</t>
        </is>
      </c>
      <c r="C250" s="2" t="inlineStr">
        <is>
          <t>15-G EOA Cable Track &amp; Hose Routing</t>
        </is>
      </c>
      <c r="D250" s="1" t="inlineStr">
        <is>
          <t>Anand</t>
        </is>
      </c>
      <c r="E250" s="1" t="inlineStr">
        <is>
          <t>2</t>
        </is>
      </c>
      <c r="F250" s="1" t="inlineStr">
        <is>
          <t>India</t>
        </is>
      </c>
      <c r="G250" s="1" t="n"/>
      <c r="H250" s="1" t="inlineStr">
        <is>
          <t>No</t>
        </is>
      </c>
      <c r="I250" s="1" t="n"/>
      <c r="J250" s="1" t="n"/>
      <c r="K250" s="1" t="inlineStr">
        <is>
          <t>In stock</t>
        </is>
      </c>
      <c r="L250" s="3" t="n">
        <v>15</v>
      </c>
      <c r="M250" s="4" t="b">
        <v>0</v>
      </c>
      <c r="N250" s="3" t="n">
        <v>6</v>
      </c>
      <c r="O250" s="1" t="n"/>
      <c r="P250" s="1" t="n"/>
      <c r="Q250" s="1" t="n"/>
      <c r="R250" s="1" t="n"/>
      <c r="S250" s="1" t="n"/>
      <c r="T250" s="1" t="n"/>
      <c r="U250" s="3" t="n">
        <v>380</v>
      </c>
      <c r="V250" s="1">
        <f>IF($K250="To be purchased",COUNTIF($K$2:$K250,"To be purchased"),"")</f>
        <v/>
      </c>
    </row>
    <row r="251">
      <c r="A251" s="1" t="inlineStr">
        <is>
          <t>Mechanical EOA</t>
        </is>
      </c>
      <c r="B251" s="2" t="inlineStr">
        <is>
          <t>Clip - EOA Hose (3D printed)</t>
        </is>
      </c>
      <c r="C251" s="2" t="inlineStr">
        <is>
          <t>15-G EOA Cable Track &amp; Hose Routing</t>
        </is>
      </c>
      <c r="D251" s="1" t="inlineStr">
        <is>
          <t>SANKALP</t>
        </is>
      </c>
      <c r="E251" s="1" t="inlineStr">
        <is>
          <t>1</t>
        </is>
      </c>
      <c r="F251" s="1" t="inlineStr">
        <is>
          <t>India</t>
        </is>
      </c>
      <c r="G251" s="1" t="n"/>
      <c r="H251" s="1" t="inlineStr">
        <is>
          <t>No</t>
        </is>
      </c>
      <c r="I251" s="1" t="n"/>
      <c r="J251" s="1" t="n"/>
      <c r="K251" s="1" t="inlineStr">
        <is>
          <t>To be Printed</t>
        </is>
      </c>
      <c r="L251" s="3" t="n">
        <v>15</v>
      </c>
      <c r="M251" s="4" t="b">
        <v>0</v>
      </c>
      <c r="N251" s="3" t="n">
        <v>6</v>
      </c>
      <c r="O251" s="1" t="n"/>
      <c r="P251" s="1" t="n"/>
      <c r="Q251" s="1" t="inlineStr">
        <is>
          <t>EOA HOSE CLIP</t>
        </is>
      </c>
      <c r="R251" s="1" t="n"/>
      <c r="S251" s="1" t="n"/>
      <c r="T251" s="1" t="n"/>
      <c r="U251" s="3" t="n">
        <v>426</v>
      </c>
      <c r="V251" s="1">
        <f>IF($K251="To be purchased",COUNTIF($K$2:$K251,"To be purchased"),"")</f>
        <v/>
      </c>
    </row>
    <row r="252">
      <c r="A252" s="1" t="inlineStr">
        <is>
          <t>Mechanical EOA</t>
        </is>
      </c>
      <c r="B252" s="2" t="inlineStr">
        <is>
          <t>Printed Part - EOA Hose, TPU</t>
        </is>
      </c>
      <c r="C252" s="2" t="inlineStr">
        <is>
          <t>15-G EOA Cable Track &amp; Hose Routing</t>
        </is>
      </c>
      <c r="D252" s="1" t="inlineStr">
        <is>
          <t>SANKALP</t>
        </is>
      </c>
      <c r="E252" s="1" t="inlineStr">
        <is>
          <t>1</t>
        </is>
      </c>
      <c r="F252" s="1" t="inlineStr">
        <is>
          <t>India</t>
        </is>
      </c>
      <c r="G252" s="1" t="n"/>
      <c r="H252" s="1" t="inlineStr">
        <is>
          <t>No</t>
        </is>
      </c>
      <c r="I252" s="1" t="n"/>
      <c r="J252" s="1" t="n"/>
      <c r="K252" s="1" t="inlineStr">
        <is>
          <t>To be Printed</t>
        </is>
      </c>
      <c r="L252" s="3" t="n">
        <v>15</v>
      </c>
      <c r="M252" s="4" t="b">
        <v>0</v>
      </c>
      <c r="N252" s="3" t="n">
        <v>6</v>
      </c>
      <c r="O252" s="1" t="n"/>
      <c r="P252" s="1" t="n"/>
      <c r="Q252" s="1" t="inlineStr">
        <is>
          <t>EOA HOSE TPU PART</t>
        </is>
      </c>
      <c r="R252" s="1" t="n"/>
      <c r="S252" s="1" t="n"/>
      <c r="T252" s="1" t="n"/>
      <c r="U252" s="3" t="n">
        <v>427</v>
      </c>
      <c r="V252" s="1">
        <f>IF($K252="To be purchased",COUNTIF($K$2:$K252,"To be purchased"),"")</f>
        <v/>
      </c>
    </row>
    <row r="253">
      <c r="A253" s="1" t="inlineStr">
        <is>
          <t>Mechanical EOA</t>
        </is>
      </c>
      <c r="B253" s="2" t="inlineStr">
        <is>
          <t>Spray Tip - Graco LTX327 (0.027 in)</t>
        </is>
      </c>
      <c r="C253" s="2" t="inlineStr">
        <is>
          <t>15-H Spray Tips &amp; Guards</t>
        </is>
      </c>
      <c r="D253" s="1" t="inlineStr">
        <is>
          <t>Anand</t>
        </is>
      </c>
      <c r="E253" s="1" t="inlineStr">
        <is>
          <t>3</t>
        </is>
      </c>
      <c r="F253" s="1" t="inlineStr">
        <is>
          <t>Buy in US</t>
        </is>
      </c>
      <c r="G253" s="1" t="n"/>
      <c r="H253" s="1" t="inlineStr">
        <is>
          <t>No</t>
        </is>
      </c>
      <c r="I253" s="1" t="n"/>
      <c r="J253" s="1" t="n"/>
      <c r="K253" s="1" t="inlineStr">
        <is>
          <t>To be purchased</t>
        </is>
      </c>
      <c r="L253" s="3" t="n">
        <v>15</v>
      </c>
      <c r="M253" s="4" t="b">
        <v>0</v>
      </c>
      <c r="N253" s="3" t="n">
        <v>6</v>
      </c>
      <c r="O253" s="1" t="n"/>
      <c r="P253" s="1" t="n"/>
      <c r="Q253" s="1" t="n"/>
      <c r="R253" s="1" t="n"/>
      <c r="S253" s="1" t="n"/>
      <c r="T253" s="1" t="n"/>
      <c r="U253" s="3" t="n">
        <v>413</v>
      </c>
      <c r="V253" s="3">
        <f>IF($K253="To be purchased",COUNTIF($K$2:$K253,"To be purchased"),"")</f>
        <v/>
      </c>
    </row>
    <row r="254">
      <c r="A254" s="1" t="inlineStr">
        <is>
          <t>Mechanical EOA</t>
        </is>
      </c>
      <c r="B254" s="2" t="inlineStr">
        <is>
          <t>Tip Guard - Graco 246215</t>
        </is>
      </c>
      <c r="C254" s="2" t="inlineStr">
        <is>
          <t>15-H Spray Tips &amp; Guards</t>
        </is>
      </c>
      <c r="D254" s="1" t="inlineStr">
        <is>
          <t>Anand</t>
        </is>
      </c>
      <c r="E254" s="1" t="inlineStr">
        <is>
          <t>3</t>
        </is>
      </c>
      <c r="F254" s="1" t="inlineStr">
        <is>
          <t>Buy in US</t>
        </is>
      </c>
      <c r="G254" s="1" t="n"/>
      <c r="H254" s="1" t="inlineStr">
        <is>
          <t>No</t>
        </is>
      </c>
      <c r="I254" s="1" t="n"/>
      <c r="J254" s="1" t="n"/>
      <c r="K254" s="1" t="inlineStr">
        <is>
          <t>To be purchased</t>
        </is>
      </c>
      <c r="L254" s="3" t="n">
        <v>15</v>
      </c>
      <c r="M254" s="4" t="b">
        <v>0</v>
      </c>
      <c r="N254" s="3" t="n">
        <v>6</v>
      </c>
      <c r="O254" s="1" t="n"/>
      <c r="P254" s="1" t="n"/>
      <c r="Q254" s="1" t="n"/>
      <c r="R254" s="1" t="n"/>
      <c r="S254" s="1" t="n"/>
      <c r="T254" s="1" t="n"/>
      <c r="U254" s="3" t="n">
        <v>414</v>
      </c>
      <c r="V254" s="3">
        <f>IF($K254="To be purchased",COUNTIF($K$2:$K254,"To be purchased"),"")</f>
        <v/>
      </c>
    </row>
    <row r="255">
      <c r="A255" s="1" t="inlineStr">
        <is>
          <t>Mechanical parts</t>
        </is>
      </c>
      <c r="B255" s="2" t="inlineStr">
        <is>
          <t>Bolt - Socket Cap (SHCS), M10 x 25 mm</t>
        </is>
      </c>
      <c r="C255" s="2" t="inlineStr">
        <is>
          <t>16-A Bolts - M10</t>
        </is>
      </c>
      <c r="D255" s="1" t="inlineStr">
        <is>
          <t>Kaustubh</t>
        </is>
      </c>
      <c r="E255" s="1" t="inlineStr">
        <is>
          <t>10</t>
        </is>
      </c>
      <c r="F255" s="1" t="inlineStr">
        <is>
          <t>India</t>
        </is>
      </c>
      <c r="G255" s="1" t="n"/>
      <c r="H255" s="1" t="inlineStr">
        <is>
          <t>No</t>
        </is>
      </c>
      <c r="I255" s="1" t="n"/>
      <c r="J255" s="1" t="n"/>
      <c r="K255" s="1" t="inlineStr">
        <is>
          <t>In stock</t>
        </is>
      </c>
      <c r="L255" s="3" t="n">
        <v>16</v>
      </c>
      <c r="M255" s="4" t="b">
        <v>0</v>
      </c>
      <c r="N255" s="3" t="n">
        <v>6</v>
      </c>
      <c r="O255" s="1" t="n"/>
      <c r="P255" s="1" t="n"/>
      <c r="Q255" s="1" t="n"/>
      <c r="R255" s="1" t="n"/>
      <c r="S255" s="1" t="inlineStr">
        <is>
          <t>Mobile (travels with robot)</t>
        </is>
      </c>
      <c r="T255" s="2" t="inlineStr">
        <is>
          <t>To Be ordered from McMaster if needed Lead time 1 day</t>
        </is>
      </c>
      <c r="U255" s="3" t="n">
        <v>311</v>
      </c>
      <c r="V255" s="1">
        <f>IF($K255="To be purchased",COUNTIF($K$2:$K255,"To be purchased"),"")</f>
        <v/>
      </c>
    </row>
    <row r="256">
      <c r="A256" s="1" t="inlineStr">
        <is>
          <t>Mechanical parts</t>
        </is>
      </c>
      <c r="B256" s="2" t="inlineStr">
        <is>
          <t>Bolt - Socket Cap (SHCS), M10 x 30 mm</t>
        </is>
      </c>
      <c r="C256" s="2" t="inlineStr">
        <is>
          <t>16-A Bolts - M10</t>
        </is>
      </c>
      <c r="D256" s="1" t="inlineStr">
        <is>
          <t>Kaustubh</t>
        </is>
      </c>
      <c r="E256" s="1" t="inlineStr">
        <is>
          <t>10</t>
        </is>
      </c>
      <c r="F256" s="1" t="inlineStr">
        <is>
          <t>India</t>
        </is>
      </c>
      <c r="G256" s="1" t="n"/>
      <c r="H256" s="1" t="inlineStr">
        <is>
          <t>No</t>
        </is>
      </c>
      <c r="I256" s="1" t="n"/>
      <c r="J256" s="1" t="n"/>
      <c r="K256" s="1" t="inlineStr">
        <is>
          <t>In stock</t>
        </is>
      </c>
      <c r="L256" s="3" t="n">
        <v>16</v>
      </c>
      <c r="M256" s="4" t="b">
        <v>0</v>
      </c>
      <c r="N256" s="3" t="n">
        <v>6</v>
      </c>
      <c r="O256" s="1" t="n"/>
      <c r="P256" s="1" t="n"/>
      <c r="Q256" s="1" t="n"/>
      <c r="R256" s="1" t="n"/>
      <c r="S256" s="1" t="inlineStr">
        <is>
          <t>Mobile (travels with robot)</t>
        </is>
      </c>
      <c r="T256" s="2" t="inlineStr">
        <is>
          <t>To Be ordered from McMaster if needed Lead time 1 day</t>
        </is>
      </c>
      <c r="U256" s="3" t="n">
        <v>312</v>
      </c>
      <c r="V256" s="1">
        <f>IF($K256="To be purchased",COUNTIF($K$2:$K256,"To be purchased"),"")</f>
        <v/>
      </c>
    </row>
    <row r="257">
      <c r="A257" s="1" t="inlineStr">
        <is>
          <t>Mechanical parts</t>
        </is>
      </c>
      <c r="B257" s="2" t="inlineStr">
        <is>
          <t>Bolt - Socket Cap (SHCS), M10 x 35 mm</t>
        </is>
      </c>
      <c r="C257" s="2" t="inlineStr">
        <is>
          <t>16-A Bolts - M10</t>
        </is>
      </c>
      <c r="D257" s="1" t="inlineStr">
        <is>
          <t>Kaustubh</t>
        </is>
      </c>
      <c r="E257" s="1" t="inlineStr">
        <is>
          <t>10</t>
        </is>
      </c>
      <c r="F257" s="1" t="inlineStr">
        <is>
          <t>India</t>
        </is>
      </c>
      <c r="G257" s="1" t="n"/>
      <c r="H257" s="1" t="inlineStr">
        <is>
          <t>No</t>
        </is>
      </c>
      <c r="I257" s="1" t="n"/>
      <c r="J257" s="1" t="n"/>
      <c r="K257" s="1" t="inlineStr">
        <is>
          <t>In stock</t>
        </is>
      </c>
      <c r="L257" s="3" t="n">
        <v>16</v>
      </c>
      <c r="M257" s="4" t="b">
        <v>0</v>
      </c>
      <c r="N257" s="3" t="n">
        <v>6</v>
      </c>
      <c r="O257" s="1" t="n"/>
      <c r="P257" s="1" t="n"/>
      <c r="Q257" s="1" t="n"/>
      <c r="R257" s="1" t="n"/>
      <c r="S257" s="1" t="inlineStr">
        <is>
          <t>Mobile (travels with robot)</t>
        </is>
      </c>
      <c r="T257" s="2" t="inlineStr">
        <is>
          <t>To Be ordered from McMaster if needed Lead time 1 day</t>
        </is>
      </c>
      <c r="U257" s="3" t="n">
        <v>313</v>
      </c>
      <c r="V257" s="1">
        <f>IF($K257="To be purchased",COUNTIF($K$2:$K257,"To be purchased"),"")</f>
        <v/>
      </c>
    </row>
    <row r="258">
      <c r="A258" s="1" t="inlineStr">
        <is>
          <t>Mechanical parts</t>
        </is>
      </c>
      <c r="B258" s="2" t="inlineStr">
        <is>
          <t>Bolt - Socket Cap (SHCS), M10 x 40 mm</t>
        </is>
      </c>
      <c r="C258" s="2" t="inlineStr">
        <is>
          <t>16-A Bolts - M10</t>
        </is>
      </c>
      <c r="D258" s="1" t="inlineStr">
        <is>
          <t>Kaustubh</t>
        </is>
      </c>
      <c r="E258" s="1" t="inlineStr">
        <is>
          <t>10</t>
        </is>
      </c>
      <c r="F258" s="1" t="inlineStr">
        <is>
          <t>India</t>
        </is>
      </c>
      <c r="G258" s="1" t="n"/>
      <c r="H258" s="1" t="inlineStr">
        <is>
          <t>No</t>
        </is>
      </c>
      <c r="I258" s="1" t="n"/>
      <c r="J258" s="1" t="n"/>
      <c r="K258" s="1" t="inlineStr">
        <is>
          <t>In stock</t>
        </is>
      </c>
      <c r="L258" s="3" t="n">
        <v>16</v>
      </c>
      <c r="M258" s="4" t="b">
        <v>0</v>
      </c>
      <c r="N258" s="3" t="n">
        <v>6</v>
      </c>
      <c r="O258" s="1" t="n"/>
      <c r="P258" s="1" t="n"/>
      <c r="Q258" s="1" t="n"/>
      <c r="R258" s="1" t="n"/>
      <c r="S258" s="1" t="inlineStr">
        <is>
          <t>Mobile (travels with robot)</t>
        </is>
      </c>
      <c r="T258" s="2" t="inlineStr">
        <is>
          <t>To Be ordered from McMaster if needed Lead time 1 day</t>
        </is>
      </c>
      <c r="U258" s="3" t="n">
        <v>314</v>
      </c>
      <c r="V258" s="1">
        <f>IF($K258="To be purchased",COUNTIF($K$2:$K258,"To be purchased"),"")</f>
        <v/>
      </c>
    </row>
    <row r="259">
      <c r="A259" s="1" t="inlineStr">
        <is>
          <t>Mechanical parts</t>
        </is>
      </c>
      <c r="B259" s="2" t="inlineStr">
        <is>
          <t>Bolt - Socket Cap (SHCS), M10 x 50 mm</t>
        </is>
      </c>
      <c r="C259" s="2" t="inlineStr">
        <is>
          <t>16-A Bolts - M10</t>
        </is>
      </c>
      <c r="D259" s="1" t="inlineStr">
        <is>
          <t>Kaustubh</t>
        </is>
      </c>
      <c r="E259" s="1" t="inlineStr">
        <is>
          <t>10</t>
        </is>
      </c>
      <c r="F259" s="1" t="inlineStr">
        <is>
          <t>India</t>
        </is>
      </c>
      <c r="G259" s="1" t="n"/>
      <c r="H259" s="1" t="inlineStr">
        <is>
          <t>No</t>
        </is>
      </c>
      <c r="I259" s="1" t="n"/>
      <c r="J259" s="1" t="n"/>
      <c r="K259" s="1" t="inlineStr">
        <is>
          <t>In stock</t>
        </is>
      </c>
      <c r="L259" s="3" t="n">
        <v>16</v>
      </c>
      <c r="M259" s="4" t="b">
        <v>0</v>
      </c>
      <c r="N259" s="3" t="n">
        <v>6</v>
      </c>
      <c r="O259" s="1" t="n"/>
      <c r="P259" s="1" t="n"/>
      <c r="Q259" s="1" t="n"/>
      <c r="R259" s="1" t="n"/>
      <c r="S259" s="1" t="inlineStr">
        <is>
          <t>Mobile (travels with robot)</t>
        </is>
      </c>
      <c r="T259" s="2" t="inlineStr">
        <is>
          <t>To Be ordered from McMaster if needed Lead time 1 day</t>
        </is>
      </c>
      <c r="U259" s="3" t="n">
        <v>315</v>
      </c>
      <c r="V259" s="1">
        <f>IF($K259="To be purchased",COUNTIF($K$2:$K259,"To be purchased"),"")</f>
        <v/>
      </c>
    </row>
    <row r="260">
      <c r="A260" s="1" t="inlineStr">
        <is>
          <t>Mechanical parts</t>
        </is>
      </c>
      <c r="B260" s="2" t="inlineStr">
        <is>
          <t>Bolt - Socket Cap (SHCS), M2 x 6 mm</t>
        </is>
      </c>
      <c r="C260" s="2" t="inlineStr">
        <is>
          <t>16-A Bolts - M2</t>
        </is>
      </c>
      <c r="D260" s="1" t="inlineStr">
        <is>
          <t>Kaustubh</t>
        </is>
      </c>
      <c r="E260" s="1" t="inlineStr">
        <is>
          <t>10</t>
        </is>
      </c>
      <c r="F260" s="1" t="inlineStr">
        <is>
          <t>India</t>
        </is>
      </c>
      <c r="G260" s="1" t="n"/>
      <c r="H260" s="1" t="inlineStr">
        <is>
          <t>No</t>
        </is>
      </c>
      <c r="I260" s="1" t="n"/>
      <c r="J260" s="1" t="n"/>
      <c r="K260" s="1" t="inlineStr">
        <is>
          <t>In stock</t>
        </is>
      </c>
      <c r="L260" s="3" t="n">
        <v>16</v>
      </c>
      <c r="M260" s="4" t="b">
        <v>1</v>
      </c>
      <c r="N260" s="3" t="n">
        <v>6</v>
      </c>
      <c r="O260" s="1" t="n"/>
      <c r="P260" s="1" t="n"/>
      <c r="Q260" s="1" t="n"/>
      <c r="R260" s="1" t="n"/>
      <c r="S260" s="1" t="inlineStr">
        <is>
          <t>Mobile (travels with robot)</t>
        </is>
      </c>
      <c r="T260" s="2" t="inlineStr">
        <is>
          <t>To Be ordered from McMaster if needed Lead time 1 day</t>
        </is>
      </c>
      <c r="U260" s="3" t="n">
        <v>244</v>
      </c>
      <c r="V260" s="1">
        <f>IF($K260="To be purchased",COUNTIF($K$2:$K260,"To be purchased"),"")</f>
        <v/>
      </c>
    </row>
    <row r="261">
      <c r="A261" s="1" t="inlineStr">
        <is>
          <t>Mechanical parts</t>
        </is>
      </c>
      <c r="B261" s="2" t="inlineStr">
        <is>
          <t>Bolt - Socket Cap (SHCS), M2 x 8 mm</t>
        </is>
      </c>
      <c r="C261" s="2" t="inlineStr">
        <is>
          <t>16-A Bolts - M2</t>
        </is>
      </c>
      <c r="D261" s="1" t="inlineStr">
        <is>
          <t>Kaustubh</t>
        </is>
      </c>
      <c r="E261" s="1" t="inlineStr">
        <is>
          <t>10</t>
        </is>
      </c>
      <c r="F261" s="1" t="inlineStr">
        <is>
          <t>India</t>
        </is>
      </c>
      <c r="G261" s="1" t="n"/>
      <c r="H261" s="1" t="inlineStr">
        <is>
          <t>No</t>
        </is>
      </c>
      <c r="I261" s="1" t="n"/>
      <c r="J261" s="1" t="n"/>
      <c r="K261" s="1" t="inlineStr">
        <is>
          <t>In stock</t>
        </is>
      </c>
      <c r="L261" s="3" t="n">
        <v>16</v>
      </c>
      <c r="M261" s="4" t="b">
        <v>1</v>
      </c>
      <c r="N261" s="3" t="n">
        <v>6</v>
      </c>
      <c r="O261" s="1" t="n"/>
      <c r="P261" s="1" t="n"/>
      <c r="Q261" s="1" t="n"/>
      <c r="R261" s="1" t="n"/>
      <c r="S261" s="1" t="inlineStr">
        <is>
          <t>Mobile (travels with robot)</t>
        </is>
      </c>
      <c r="T261" s="2" t="inlineStr">
        <is>
          <t>To Be ordered from McMaster if needed Lead time 1 day</t>
        </is>
      </c>
      <c r="U261" s="3" t="n">
        <v>245</v>
      </c>
      <c r="V261" s="1">
        <f>IF($K261="To be purchased",COUNTIF($K$2:$K261,"To be purchased"),"")</f>
        <v/>
      </c>
    </row>
    <row r="262">
      <c r="A262" s="1" t="inlineStr">
        <is>
          <t>Mechanical parts</t>
        </is>
      </c>
      <c r="B262" s="2" t="inlineStr">
        <is>
          <t>Bolt - Socket Cap (SHCS), M2 x 10 mm</t>
        </is>
      </c>
      <c r="C262" s="2" t="inlineStr">
        <is>
          <t>16-A Bolts - M2</t>
        </is>
      </c>
      <c r="D262" s="1" t="inlineStr">
        <is>
          <t>Kaustubh</t>
        </is>
      </c>
      <c r="E262" s="1" t="inlineStr">
        <is>
          <t>10</t>
        </is>
      </c>
      <c r="F262" s="1" t="inlineStr">
        <is>
          <t>India</t>
        </is>
      </c>
      <c r="G262" s="1" t="n"/>
      <c r="H262" s="1" t="inlineStr">
        <is>
          <t>No</t>
        </is>
      </c>
      <c r="I262" s="1" t="n"/>
      <c r="J262" s="1" t="n"/>
      <c r="K262" s="1" t="inlineStr">
        <is>
          <t>In stock</t>
        </is>
      </c>
      <c r="L262" s="3" t="n">
        <v>16</v>
      </c>
      <c r="M262" s="4" t="b">
        <v>1</v>
      </c>
      <c r="N262" s="3" t="n">
        <v>6</v>
      </c>
      <c r="O262" s="1" t="n"/>
      <c r="P262" s="1" t="n"/>
      <c r="Q262" s="1" t="n"/>
      <c r="R262" s="1" t="n"/>
      <c r="S262" s="1" t="inlineStr">
        <is>
          <t>Mobile (travels with robot)</t>
        </is>
      </c>
      <c r="T262" s="2" t="inlineStr">
        <is>
          <t>To Be ordered from McMaster if needed Lead time 1 day</t>
        </is>
      </c>
      <c r="U262" s="3" t="n">
        <v>246</v>
      </c>
      <c r="V262" s="1">
        <f>IF($K262="To be purchased",COUNTIF($K$2:$K262,"To be purchased"),"")</f>
        <v/>
      </c>
    </row>
    <row r="263">
      <c r="A263" s="1" t="inlineStr">
        <is>
          <t>Mechanical parts</t>
        </is>
      </c>
      <c r="B263" s="2" t="inlineStr">
        <is>
          <t>Bolt - Socket Cap (SHCS), M2 x 12 mm</t>
        </is>
      </c>
      <c r="C263" s="2" t="inlineStr">
        <is>
          <t>16-A Bolts - M2</t>
        </is>
      </c>
      <c r="D263" s="1" t="inlineStr">
        <is>
          <t>Kaustubh</t>
        </is>
      </c>
      <c r="E263" s="1" t="inlineStr">
        <is>
          <t>10</t>
        </is>
      </c>
      <c r="F263" s="1" t="inlineStr">
        <is>
          <t>India</t>
        </is>
      </c>
      <c r="G263" s="1" t="n"/>
      <c r="H263" s="1" t="inlineStr">
        <is>
          <t>No</t>
        </is>
      </c>
      <c r="I263" s="1" t="n"/>
      <c r="J263" s="1" t="n"/>
      <c r="K263" s="1" t="inlineStr">
        <is>
          <t>In stock</t>
        </is>
      </c>
      <c r="L263" s="3" t="n">
        <v>16</v>
      </c>
      <c r="M263" s="4" t="b">
        <v>1</v>
      </c>
      <c r="N263" s="3" t="n">
        <v>6</v>
      </c>
      <c r="O263" s="1" t="n"/>
      <c r="P263" s="1" t="n"/>
      <c r="Q263" s="1" t="n"/>
      <c r="R263" s="1" t="n"/>
      <c r="S263" s="1" t="inlineStr">
        <is>
          <t>Mobile (travels with robot)</t>
        </is>
      </c>
      <c r="T263" s="2" t="inlineStr">
        <is>
          <t>To Be ordered from McMaster if needed Lead time 1 day</t>
        </is>
      </c>
      <c r="U263" s="3" t="n">
        <v>247</v>
      </c>
      <c r="V263" s="1">
        <f>IF($K263="To be purchased",COUNTIF($K$2:$K263,"To be purchased"),"")</f>
        <v/>
      </c>
    </row>
    <row r="264">
      <c r="A264" s="1" t="inlineStr">
        <is>
          <t>Mechanical parts</t>
        </is>
      </c>
      <c r="B264" s="2" t="inlineStr">
        <is>
          <t>Bolt - Socket Cap (SHCS), M2 x 16 mm</t>
        </is>
      </c>
      <c r="C264" s="2" t="inlineStr">
        <is>
          <t>16-A Bolts - M2</t>
        </is>
      </c>
      <c r="D264" s="1" t="inlineStr">
        <is>
          <t>Kaustubh</t>
        </is>
      </c>
      <c r="E264" s="1" t="inlineStr">
        <is>
          <t>20</t>
        </is>
      </c>
      <c r="F264" s="1" t="inlineStr">
        <is>
          <t>India</t>
        </is>
      </c>
      <c r="G264" s="1" t="n"/>
      <c r="H264" s="1" t="inlineStr">
        <is>
          <t>No</t>
        </is>
      </c>
      <c r="I264" s="1" t="n"/>
      <c r="J264" s="1" t="n"/>
      <c r="K264" s="1" t="inlineStr">
        <is>
          <t>In stock</t>
        </is>
      </c>
      <c r="L264" s="3" t="n">
        <v>16</v>
      </c>
      <c r="M264" s="4" t="b">
        <v>1</v>
      </c>
      <c r="N264" s="3" t="n">
        <v>6</v>
      </c>
      <c r="O264" s="1" t="n"/>
      <c r="P264" s="1" t="n"/>
      <c r="Q264" s="1" t="n"/>
      <c r="R264" s="1" t="n"/>
      <c r="S264" s="1" t="inlineStr">
        <is>
          <t>Mobile (travels with robot)</t>
        </is>
      </c>
      <c r="T264" s="2" t="inlineStr">
        <is>
          <t>To Be ordered from McMaster if needed Lead time 1 day</t>
        </is>
      </c>
      <c r="U264" s="3" t="n">
        <v>248</v>
      </c>
      <c r="V264" s="1">
        <f>IF($K264="To be purchased",COUNTIF($K$2:$K264,"To be purchased"),"")</f>
        <v/>
      </c>
    </row>
    <row r="265">
      <c r="A265" s="1" t="inlineStr">
        <is>
          <t>Mechanical parts</t>
        </is>
      </c>
      <c r="B265" s="2" t="inlineStr">
        <is>
          <t>Bolt - Socket Cap (SHCS), M2 x 20 mm</t>
        </is>
      </c>
      <c r="C265" s="2" t="inlineStr">
        <is>
          <t>16-A Bolts - M2</t>
        </is>
      </c>
      <c r="D265" s="1" t="inlineStr">
        <is>
          <t>Kaustubh</t>
        </is>
      </c>
      <c r="E265" s="1" t="inlineStr">
        <is>
          <t>10</t>
        </is>
      </c>
      <c r="F265" s="1" t="inlineStr">
        <is>
          <t>India</t>
        </is>
      </c>
      <c r="G265" s="1" t="n"/>
      <c r="H265" s="1" t="inlineStr">
        <is>
          <t>No</t>
        </is>
      </c>
      <c r="I265" s="1" t="n"/>
      <c r="J265" s="1" t="n"/>
      <c r="K265" s="1" t="inlineStr">
        <is>
          <t>In stock</t>
        </is>
      </c>
      <c r="L265" s="3" t="n">
        <v>16</v>
      </c>
      <c r="M265" s="4" t="b">
        <v>1</v>
      </c>
      <c r="N265" s="3" t="n">
        <v>6</v>
      </c>
      <c r="O265" s="1" t="n"/>
      <c r="P265" s="1" t="n"/>
      <c r="Q265" s="1" t="n"/>
      <c r="R265" s="1" t="n"/>
      <c r="S265" s="1" t="inlineStr">
        <is>
          <t>Mobile (travels with robot)</t>
        </is>
      </c>
      <c r="T265" s="2" t="inlineStr">
        <is>
          <t>To Be ordered from McMaster if needed Lead time 1 day</t>
        </is>
      </c>
      <c r="U265" s="3" t="n">
        <v>249</v>
      </c>
      <c r="V265" s="1">
        <f>IF($K265="To be purchased",COUNTIF($K$2:$K265,"To be purchased"),"")</f>
        <v/>
      </c>
    </row>
    <row r="266">
      <c r="A266" s="1" t="inlineStr">
        <is>
          <t>Mechanical parts</t>
        </is>
      </c>
      <c r="B266" s="2" t="inlineStr">
        <is>
          <t>Bolt - Socket Cap (SHCS), M3 x 6 mm</t>
        </is>
      </c>
      <c r="C266" s="2" t="inlineStr">
        <is>
          <t>16-A Bolts - M3</t>
        </is>
      </c>
      <c r="D266" s="1" t="inlineStr">
        <is>
          <t>Kaustubh</t>
        </is>
      </c>
      <c r="E266" s="1" t="inlineStr">
        <is>
          <t>10</t>
        </is>
      </c>
      <c r="F266" s="1" t="inlineStr">
        <is>
          <t>India</t>
        </is>
      </c>
      <c r="G266" s="1" t="n"/>
      <c r="H266" s="1" t="inlineStr">
        <is>
          <t>No</t>
        </is>
      </c>
      <c r="I266" s="1" t="n"/>
      <c r="J266" s="1" t="n"/>
      <c r="K266" s="1" t="inlineStr">
        <is>
          <t>In stock</t>
        </is>
      </c>
      <c r="L266" s="3" t="n">
        <v>16</v>
      </c>
      <c r="M266" s="4" t="b">
        <v>1</v>
      </c>
      <c r="N266" s="3" t="n">
        <v>6</v>
      </c>
      <c r="O266" s="1" t="n"/>
      <c r="P266" s="1" t="n"/>
      <c r="Q266" s="1" t="n"/>
      <c r="R266" s="1" t="n"/>
      <c r="S266" s="1" t="inlineStr">
        <is>
          <t>Mobile (travels with robot)</t>
        </is>
      </c>
      <c r="T266" s="2" t="inlineStr">
        <is>
          <t>To Be ordered from McMaster if needed Lead time 1 day</t>
        </is>
      </c>
      <c r="U266" s="3" t="n">
        <v>252</v>
      </c>
      <c r="V266" s="1">
        <f>IF($K266="To be purchased",COUNTIF($K$2:$K266,"To be purchased"),"")</f>
        <v/>
      </c>
    </row>
    <row r="267">
      <c r="A267" s="1" t="inlineStr">
        <is>
          <t>Mechanical parts</t>
        </is>
      </c>
      <c r="B267" s="2" t="inlineStr">
        <is>
          <t>Bolt - Socket Cap (SHCS), M3 x 8 mm</t>
        </is>
      </c>
      <c r="C267" s="2" t="inlineStr">
        <is>
          <t>16-A Bolts - M3</t>
        </is>
      </c>
      <c r="D267" s="1" t="inlineStr">
        <is>
          <t>Kaustubh</t>
        </is>
      </c>
      <c r="E267" s="1" t="inlineStr">
        <is>
          <t>10</t>
        </is>
      </c>
      <c r="F267" s="1" t="inlineStr">
        <is>
          <t>India</t>
        </is>
      </c>
      <c r="G267" s="1" t="n"/>
      <c r="H267" s="1" t="inlineStr">
        <is>
          <t>No</t>
        </is>
      </c>
      <c r="I267" s="1" t="n"/>
      <c r="J267" s="1" t="n"/>
      <c r="K267" s="1" t="inlineStr">
        <is>
          <t>In stock</t>
        </is>
      </c>
      <c r="L267" s="3" t="n">
        <v>16</v>
      </c>
      <c r="M267" s="4" t="b">
        <v>1</v>
      </c>
      <c r="N267" s="3" t="n">
        <v>6</v>
      </c>
      <c r="O267" s="1" t="n"/>
      <c r="P267" s="1" t="n"/>
      <c r="Q267" s="1" t="n"/>
      <c r="R267" s="1" t="n"/>
      <c r="S267" s="1" t="inlineStr">
        <is>
          <t>Mobile (travels with robot)</t>
        </is>
      </c>
      <c r="T267" s="2" t="inlineStr">
        <is>
          <t>To Be ordered from McMaster if needed Lead time 1 day</t>
        </is>
      </c>
      <c r="U267" s="3" t="n">
        <v>253</v>
      </c>
      <c r="V267" s="1">
        <f>IF($K267="To be purchased",COUNTIF($K$2:$K267,"To be purchased"),"")</f>
        <v/>
      </c>
    </row>
    <row r="268">
      <c r="A268" s="1" t="inlineStr">
        <is>
          <t>Mechanical parts</t>
        </is>
      </c>
      <c r="B268" s="2" t="inlineStr">
        <is>
          <t>Bolt - Socket Cap (SHCS), M3 x 10 mm</t>
        </is>
      </c>
      <c r="C268" s="2" t="inlineStr">
        <is>
          <t>16-A Bolts - M3</t>
        </is>
      </c>
      <c r="D268" s="1" t="inlineStr">
        <is>
          <t>Kaustubh</t>
        </is>
      </c>
      <c r="E268" s="1" t="inlineStr">
        <is>
          <t>10</t>
        </is>
      </c>
      <c r="F268" s="1" t="inlineStr">
        <is>
          <t>India</t>
        </is>
      </c>
      <c r="G268" s="1" t="n"/>
      <c r="H268" s="1" t="inlineStr">
        <is>
          <t>No</t>
        </is>
      </c>
      <c r="I268" s="1" t="n"/>
      <c r="J268" s="1" t="n"/>
      <c r="K268" s="1" t="inlineStr">
        <is>
          <t>In stock</t>
        </is>
      </c>
      <c r="L268" s="3" t="n">
        <v>16</v>
      </c>
      <c r="M268" s="4" t="b">
        <v>1</v>
      </c>
      <c r="N268" s="3" t="n">
        <v>6</v>
      </c>
      <c r="O268" s="1" t="n"/>
      <c r="P268" s="1" t="n"/>
      <c r="Q268" s="1" t="n"/>
      <c r="R268" s="1" t="n"/>
      <c r="S268" s="1" t="inlineStr">
        <is>
          <t>Mobile (travels with robot)</t>
        </is>
      </c>
      <c r="T268" s="2" t="inlineStr">
        <is>
          <t>To Be ordered from McMaster if needed Lead time 1 day</t>
        </is>
      </c>
      <c r="U268" s="3" t="n">
        <v>254</v>
      </c>
      <c r="V268" s="1">
        <f>IF($K268="To be purchased",COUNTIF($K$2:$K268,"To be purchased"),"")</f>
        <v/>
      </c>
    </row>
    <row r="269">
      <c r="A269" s="1" t="inlineStr">
        <is>
          <t>Mechanical parts</t>
        </is>
      </c>
      <c r="B269" s="2" t="inlineStr">
        <is>
          <t>Bolt - Socket Cap (SHCS), M3 x 12 mm</t>
        </is>
      </c>
      <c r="C269" s="2" t="inlineStr">
        <is>
          <t>16-A Bolts - M3</t>
        </is>
      </c>
      <c r="D269" s="1" t="inlineStr">
        <is>
          <t>Kaustubh</t>
        </is>
      </c>
      <c r="E269" s="1" t="inlineStr">
        <is>
          <t>10</t>
        </is>
      </c>
      <c r="F269" s="1" t="inlineStr">
        <is>
          <t>India</t>
        </is>
      </c>
      <c r="G269" s="1" t="n"/>
      <c r="H269" s="1" t="inlineStr">
        <is>
          <t>No</t>
        </is>
      </c>
      <c r="I269" s="1" t="n"/>
      <c r="J269" s="1" t="n"/>
      <c r="K269" s="1" t="inlineStr">
        <is>
          <t>In stock</t>
        </is>
      </c>
      <c r="L269" s="3" t="n">
        <v>16</v>
      </c>
      <c r="M269" s="4" t="b">
        <v>1</v>
      </c>
      <c r="N269" s="3" t="n">
        <v>6</v>
      </c>
      <c r="O269" s="1" t="n"/>
      <c r="P269" s="1" t="n"/>
      <c r="Q269" s="1" t="n"/>
      <c r="R269" s="1" t="n"/>
      <c r="S269" s="1" t="inlineStr">
        <is>
          <t>Mobile (travels with robot)</t>
        </is>
      </c>
      <c r="T269" s="2" t="inlineStr">
        <is>
          <t>To Be ordered from McMaster if needed Lead time 1 day</t>
        </is>
      </c>
      <c r="U269" s="3" t="n">
        <v>255</v>
      </c>
      <c r="V269" s="1">
        <f>IF($K269="To be purchased",COUNTIF($K$2:$K269,"To be purchased"),"")</f>
        <v/>
      </c>
    </row>
    <row r="270">
      <c r="A270" s="1" t="inlineStr">
        <is>
          <t>Mechanical parts</t>
        </is>
      </c>
      <c r="B270" s="2" t="inlineStr">
        <is>
          <t>Bolt - Socket Cap (SHCS), M3 x 16 mm</t>
        </is>
      </c>
      <c r="C270" s="2" t="inlineStr">
        <is>
          <t>16-A Bolts - M3</t>
        </is>
      </c>
      <c r="D270" s="1" t="inlineStr">
        <is>
          <t>Kaustubh</t>
        </is>
      </c>
      <c r="E270" s="1" t="inlineStr">
        <is>
          <t>20</t>
        </is>
      </c>
      <c r="F270" s="1" t="inlineStr">
        <is>
          <t>India</t>
        </is>
      </c>
      <c r="G270" s="1" t="n"/>
      <c r="H270" s="1" t="inlineStr">
        <is>
          <t>No</t>
        </is>
      </c>
      <c r="I270" s="1" t="n"/>
      <c r="J270" s="1" t="n"/>
      <c r="K270" s="1" t="inlineStr">
        <is>
          <t>In stock</t>
        </is>
      </c>
      <c r="L270" s="3" t="n">
        <v>16</v>
      </c>
      <c r="M270" s="4" t="b">
        <v>1</v>
      </c>
      <c r="N270" s="3" t="n">
        <v>6</v>
      </c>
      <c r="O270" s="1" t="n"/>
      <c r="P270" s="1" t="n"/>
      <c r="Q270" s="1" t="n"/>
      <c r="R270" s="1" t="n"/>
      <c r="S270" s="1" t="inlineStr">
        <is>
          <t>Mobile (travels with robot)</t>
        </is>
      </c>
      <c r="T270" s="2" t="inlineStr">
        <is>
          <t>To Be ordered from McMaster if needed Lead time 1 day</t>
        </is>
      </c>
      <c r="U270" s="3" t="n">
        <v>256</v>
      </c>
      <c r="V270" s="1">
        <f>IF($K270="To be purchased",COUNTIF($K$2:$K270,"To be purchased"),"")</f>
        <v/>
      </c>
    </row>
    <row r="271">
      <c r="A271" s="1" t="inlineStr">
        <is>
          <t>Mechanical parts</t>
        </is>
      </c>
      <c r="B271" s="2" t="inlineStr">
        <is>
          <t>Bolt - Socket Cap (SHCS), M3 x 20 mm</t>
        </is>
      </c>
      <c r="C271" s="2" t="inlineStr">
        <is>
          <t>16-A Bolts - M3</t>
        </is>
      </c>
      <c r="D271" s="1" t="inlineStr">
        <is>
          <t>Kaustubh</t>
        </is>
      </c>
      <c r="E271" s="1" t="inlineStr">
        <is>
          <t>10</t>
        </is>
      </c>
      <c r="F271" s="1" t="inlineStr">
        <is>
          <t>India</t>
        </is>
      </c>
      <c r="G271" s="1" t="n"/>
      <c r="H271" s="1" t="inlineStr">
        <is>
          <t>No</t>
        </is>
      </c>
      <c r="I271" s="1" t="n"/>
      <c r="J271" s="1" t="n"/>
      <c r="K271" s="1" t="inlineStr">
        <is>
          <t>In stock</t>
        </is>
      </c>
      <c r="L271" s="3" t="n">
        <v>16</v>
      </c>
      <c r="M271" s="4" t="b">
        <v>1</v>
      </c>
      <c r="N271" s="3" t="n">
        <v>6</v>
      </c>
      <c r="O271" s="1" t="n"/>
      <c r="P271" s="1" t="n"/>
      <c r="Q271" s="1" t="n"/>
      <c r="R271" s="1" t="n"/>
      <c r="S271" s="1" t="inlineStr">
        <is>
          <t>Mobile (travels with robot)</t>
        </is>
      </c>
      <c r="T271" s="2" t="inlineStr">
        <is>
          <t>To Be ordered from McMaster if needed Lead time 1 day</t>
        </is>
      </c>
      <c r="U271" s="3" t="n">
        <v>257</v>
      </c>
      <c r="V271" s="1">
        <f>IF($K271="To be purchased",COUNTIF($K$2:$K271,"To be purchased"),"")</f>
        <v/>
      </c>
    </row>
    <row r="272">
      <c r="A272" s="1" t="inlineStr">
        <is>
          <t>Mechanical parts</t>
        </is>
      </c>
      <c r="B272" s="2" t="inlineStr">
        <is>
          <t>Bolt - Socket Cap (SHCS), M3 x 25 mm</t>
        </is>
      </c>
      <c r="C272" s="2" t="inlineStr">
        <is>
          <t>16-A Bolts - M3</t>
        </is>
      </c>
      <c r="D272" s="1" t="inlineStr">
        <is>
          <t>Kaustubh</t>
        </is>
      </c>
      <c r="E272" s="1" t="inlineStr">
        <is>
          <t>10</t>
        </is>
      </c>
      <c r="F272" s="1" t="inlineStr">
        <is>
          <t>India</t>
        </is>
      </c>
      <c r="G272" s="1" t="n"/>
      <c r="H272" s="1" t="inlineStr">
        <is>
          <t>No</t>
        </is>
      </c>
      <c r="I272" s="1" t="n"/>
      <c r="J272" s="1" t="n"/>
      <c r="K272" s="1" t="inlineStr">
        <is>
          <t>In stock</t>
        </is>
      </c>
      <c r="L272" s="3" t="n">
        <v>16</v>
      </c>
      <c r="M272" s="4" t="b">
        <v>1</v>
      </c>
      <c r="N272" s="3" t="n">
        <v>6</v>
      </c>
      <c r="O272" s="1" t="n"/>
      <c r="P272" s="1" t="n"/>
      <c r="Q272" s="1" t="n"/>
      <c r="R272" s="1" t="n"/>
      <c r="S272" s="1" t="inlineStr">
        <is>
          <t>Mobile (travels with robot)</t>
        </is>
      </c>
      <c r="T272" s="2" t="inlineStr">
        <is>
          <t>To Be ordered from McMaster if needed Lead time 1 day</t>
        </is>
      </c>
      <c r="U272" s="3" t="n">
        <v>258</v>
      </c>
      <c r="V272" s="1">
        <f>IF($K272="To be purchased",COUNTIF($K$2:$K272,"To be purchased"),"")</f>
        <v/>
      </c>
    </row>
    <row r="273">
      <c r="A273" s="1" t="inlineStr">
        <is>
          <t>Mechanical parts</t>
        </is>
      </c>
      <c r="B273" s="2" t="inlineStr">
        <is>
          <t>Bolt - Socket Cap (SHCS), M3 x 30 mm</t>
        </is>
      </c>
      <c r="C273" s="2" t="inlineStr">
        <is>
          <t>16-A Bolts - M3</t>
        </is>
      </c>
      <c r="D273" s="1" t="inlineStr">
        <is>
          <t>Kaustubh</t>
        </is>
      </c>
      <c r="E273" s="1" t="inlineStr">
        <is>
          <t>10</t>
        </is>
      </c>
      <c r="F273" s="1" t="inlineStr">
        <is>
          <t>India</t>
        </is>
      </c>
      <c r="G273" s="1" t="n"/>
      <c r="H273" s="1" t="inlineStr">
        <is>
          <t>No</t>
        </is>
      </c>
      <c r="I273" s="1" t="n"/>
      <c r="J273" s="1" t="n"/>
      <c r="K273" s="1" t="inlineStr">
        <is>
          <t>In stock</t>
        </is>
      </c>
      <c r="L273" s="3" t="n">
        <v>16</v>
      </c>
      <c r="M273" s="4" t="b">
        <v>1</v>
      </c>
      <c r="N273" s="3" t="n">
        <v>6</v>
      </c>
      <c r="O273" s="1" t="n"/>
      <c r="P273" s="1" t="n"/>
      <c r="Q273" s="1" t="n"/>
      <c r="R273" s="1" t="n"/>
      <c r="S273" s="1" t="inlineStr">
        <is>
          <t>Mobile (travels with robot)</t>
        </is>
      </c>
      <c r="T273" s="2" t="inlineStr">
        <is>
          <t>To Be ordered from McMaster if needed Lead time 1 day</t>
        </is>
      </c>
      <c r="U273" s="3" t="n">
        <v>259</v>
      </c>
      <c r="V273" s="1">
        <f>IF($K273="To be purchased",COUNTIF($K$2:$K273,"To be purchased"),"")</f>
        <v/>
      </c>
    </row>
    <row r="274">
      <c r="A274" s="1" t="inlineStr">
        <is>
          <t>Mechanical parts</t>
        </is>
      </c>
      <c r="B274" s="2" t="inlineStr">
        <is>
          <t>Bolt - Socket Cap (SHCS), M3 x 40 mm</t>
        </is>
      </c>
      <c r="C274" s="2" t="inlineStr">
        <is>
          <t>16-A Bolts - M3</t>
        </is>
      </c>
      <c r="D274" s="1" t="inlineStr">
        <is>
          <t>Kaustubh</t>
        </is>
      </c>
      <c r="E274" s="1" t="inlineStr">
        <is>
          <t>10</t>
        </is>
      </c>
      <c r="F274" s="1" t="inlineStr">
        <is>
          <t>India</t>
        </is>
      </c>
      <c r="G274" s="1" t="n"/>
      <c r="H274" s="1" t="inlineStr">
        <is>
          <t>No</t>
        </is>
      </c>
      <c r="I274" s="1" t="n"/>
      <c r="J274" s="1" t="n"/>
      <c r="K274" s="1" t="inlineStr">
        <is>
          <t>In stock</t>
        </is>
      </c>
      <c r="L274" s="3" t="n">
        <v>16</v>
      </c>
      <c r="M274" s="4" t="b">
        <v>1</v>
      </c>
      <c r="N274" s="3" t="n">
        <v>6</v>
      </c>
      <c r="O274" s="1" t="n"/>
      <c r="P274" s="1" t="n"/>
      <c r="Q274" s="1" t="n"/>
      <c r="R274" s="1" t="n"/>
      <c r="S274" s="1" t="inlineStr">
        <is>
          <t>Mobile (travels with robot)</t>
        </is>
      </c>
      <c r="T274" s="2" t="inlineStr">
        <is>
          <t>To Be ordered from McMaster if needed Lead time 1 day</t>
        </is>
      </c>
      <c r="U274" s="3" t="n">
        <v>259</v>
      </c>
      <c r="V274" s="1">
        <f>IF($K274="To be purchased",COUNTIF($K$2:$K274,"To be purchased"),"")</f>
        <v/>
      </c>
    </row>
    <row r="275">
      <c r="A275" s="1" t="inlineStr">
        <is>
          <t>Mechanical parts</t>
        </is>
      </c>
      <c r="B275" s="2" t="inlineStr">
        <is>
          <t>Bolt - Countersunk (CSK), M3 x 12 mm</t>
        </is>
      </c>
      <c r="C275" s="2" t="inlineStr">
        <is>
          <t>16-A Bolts - M3</t>
        </is>
      </c>
      <c r="D275" s="1" t="inlineStr">
        <is>
          <t>Kaustubh</t>
        </is>
      </c>
      <c r="E275" s="1" t="inlineStr">
        <is>
          <t>30</t>
        </is>
      </c>
      <c r="F275" s="1" t="inlineStr">
        <is>
          <t>India</t>
        </is>
      </c>
      <c r="G275" s="1" t="n"/>
      <c r="H275" s="1" t="inlineStr">
        <is>
          <t>No</t>
        </is>
      </c>
      <c r="I275" s="1" t="n"/>
      <c r="J275" s="1" t="n"/>
      <c r="K275" s="1" t="inlineStr">
        <is>
          <t>In stock</t>
        </is>
      </c>
      <c r="L275" s="3" t="n">
        <v>16</v>
      </c>
      <c r="M275" s="4" t="b">
        <v>0</v>
      </c>
      <c r="N275" s="3" t="n">
        <v>6</v>
      </c>
      <c r="O275" s="1" t="n"/>
      <c r="P275" s="1" t="n"/>
      <c r="Q275" s="1" t="n"/>
      <c r="R275" s="1" t="n"/>
      <c r="S275" s="1" t="inlineStr">
        <is>
          <t>Mobile (travels with robot)</t>
        </is>
      </c>
      <c r="T275" s="2" t="inlineStr">
        <is>
          <t>To Be ordered from McMaster if needed Lead time 1 day</t>
        </is>
      </c>
      <c r="U275" s="3" t="n">
        <v>260</v>
      </c>
      <c r="V275" s="1">
        <f>IF($K275="To be purchased",COUNTIF($K$2:$K275,"To be purchased"),"")</f>
        <v/>
      </c>
    </row>
    <row r="276">
      <c r="A276" s="1" t="inlineStr">
        <is>
          <t>Mechanical parts</t>
        </is>
      </c>
      <c r="B276" s="2" t="inlineStr">
        <is>
          <t>Bolt - Countersunk (CSK), M3 x 16 mm</t>
        </is>
      </c>
      <c r="C276" s="2" t="inlineStr">
        <is>
          <t>16-A Bolts - M3</t>
        </is>
      </c>
      <c r="D276" s="1" t="inlineStr">
        <is>
          <t>Kaustubh</t>
        </is>
      </c>
      <c r="E276" s="1" t="inlineStr">
        <is>
          <t>30</t>
        </is>
      </c>
      <c r="F276" s="1" t="inlineStr">
        <is>
          <t>India</t>
        </is>
      </c>
      <c r="G276" s="1" t="n"/>
      <c r="H276" s="1" t="inlineStr">
        <is>
          <t>No</t>
        </is>
      </c>
      <c r="I276" s="1" t="n"/>
      <c r="J276" s="1" t="n"/>
      <c r="K276" s="1" t="inlineStr">
        <is>
          <t>In stock</t>
        </is>
      </c>
      <c r="L276" s="3" t="n">
        <v>16</v>
      </c>
      <c r="M276" s="4" t="b">
        <v>0</v>
      </c>
      <c r="N276" s="3" t="n">
        <v>6</v>
      </c>
      <c r="O276" s="1" t="n"/>
      <c r="P276" s="1" t="n"/>
      <c r="Q276" s="1" t="n"/>
      <c r="R276" s="1" t="n"/>
      <c r="S276" s="1" t="inlineStr">
        <is>
          <t>Mobile (travels with robot)</t>
        </is>
      </c>
      <c r="T276" s="2" t="inlineStr">
        <is>
          <t>To Be ordered from McMaster if needed Lead time 1 day</t>
        </is>
      </c>
      <c r="U276" s="3" t="n">
        <v>261</v>
      </c>
      <c r="V276" s="1">
        <f>IF($K276="To be purchased",COUNTIF($K$2:$K276,"To be purchased"),"")</f>
        <v/>
      </c>
    </row>
    <row r="277">
      <c r="A277" s="1" t="inlineStr">
        <is>
          <t>Mechanical parts</t>
        </is>
      </c>
      <c r="B277" s="2" t="inlineStr">
        <is>
          <t>Bolt - Socket Cap (SHCS), M4 x 6 mm</t>
        </is>
      </c>
      <c r="C277" s="2" t="inlineStr">
        <is>
          <t>16-A Bolts - M4</t>
        </is>
      </c>
      <c r="D277" s="1" t="inlineStr">
        <is>
          <t>Kaustubh</t>
        </is>
      </c>
      <c r="E277" s="1" t="inlineStr">
        <is>
          <t>10</t>
        </is>
      </c>
      <c r="F277" s="1" t="inlineStr">
        <is>
          <t>India</t>
        </is>
      </c>
      <c r="G277" s="1" t="n"/>
      <c r="H277" s="1" t="inlineStr">
        <is>
          <t>No</t>
        </is>
      </c>
      <c r="I277" s="1" t="n"/>
      <c r="J277" s="1" t="n"/>
      <c r="K277" s="1" t="inlineStr">
        <is>
          <t>In stock</t>
        </is>
      </c>
      <c r="L277" s="3" t="n">
        <v>16</v>
      </c>
      <c r="M277" s="4" t="b">
        <v>0</v>
      </c>
      <c r="N277" s="3" t="n">
        <v>6</v>
      </c>
      <c r="O277" s="1" t="n"/>
      <c r="P277" s="1" t="n"/>
      <c r="Q277" s="1" t="n"/>
      <c r="R277" s="1" t="n"/>
      <c r="S277" s="1" t="inlineStr">
        <is>
          <t>Mobile (travels with robot)</t>
        </is>
      </c>
      <c r="T277" s="2" t="inlineStr">
        <is>
          <t>To Be ordered from McMaster if needed Lead time 1 day</t>
        </is>
      </c>
      <c r="U277" s="3" t="n">
        <v>262</v>
      </c>
      <c r="V277" s="1">
        <f>IF($K277="To be purchased",COUNTIF($K$2:$K277,"To be purchased"),"")</f>
        <v/>
      </c>
    </row>
    <row r="278">
      <c r="A278" s="1" t="inlineStr">
        <is>
          <t>Mechanical parts</t>
        </is>
      </c>
      <c r="B278" s="2" t="inlineStr">
        <is>
          <t>Bolt - Socket Cap (SHCS), M4 x 8 mm</t>
        </is>
      </c>
      <c r="C278" s="2" t="inlineStr">
        <is>
          <t>16-A Bolts - M4</t>
        </is>
      </c>
      <c r="D278" s="1" t="inlineStr">
        <is>
          <t>Kaustubh</t>
        </is>
      </c>
      <c r="E278" s="1" t="inlineStr">
        <is>
          <t>10</t>
        </is>
      </c>
      <c r="F278" s="1" t="inlineStr">
        <is>
          <t>India</t>
        </is>
      </c>
      <c r="G278" s="1" t="n"/>
      <c r="H278" s="1" t="inlineStr">
        <is>
          <t>No</t>
        </is>
      </c>
      <c r="I278" s="1" t="n"/>
      <c r="J278" s="1" t="n"/>
      <c r="K278" s="1" t="inlineStr">
        <is>
          <t>In stock</t>
        </is>
      </c>
      <c r="L278" s="3" t="n">
        <v>16</v>
      </c>
      <c r="M278" s="4" t="b">
        <v>0</v>
      </c>
      <c r="N278" s="3" t="n">
        <v>6</v>
      </c>
      <c r="O278" s="1" t="n"/>
      <c r="P278" s="1" t="n"/>
      <c r="Q278" s="1" t="n"/>
      <c r="R278" s="1" t="n"/>
      <c r="S278" s="1" t="inlineStr">
        <is>
          <t>Mobile (travels with robot)</t>
        </is>
      </c>
      <c r="T278" s="2" t="inlineStr">
        <is>
          <t>To Be ordered from McMaster if needed Lead time 1 day</t>
        </is>
      </c>
      <c r="U278" s="3" t="n">
        <v>263</v>
      </c>
      <c r="V278" s="1">
        <f>IF($K278="To be purchased",COUNTIF($K$2:$K278,"To be purchased"),"")</f>
        <v/>
      </c>
    </row>
    <row r="279">
      <c r="A279" s="1" t="inlineStr">
        <is>
          <t>Mechanical parts</t>
        </is>
      </c>
      <c r="B279" s="2" t="inlineStr">
        <is>
          <t>Bolt - Socket Cap (SHCS), M4 x 10 mm</t>
        </is>
      </c>
      <c r="C279" s="2" t="inlineStr">
        <is>
          <t>16-A Bolts - M4</t>
        </is>
      </c>
      <c r="D279" s="1" t="inlineStr">
        <is>
          <t>Kaustubh</t>
        </is>
      </c>
      <c r="E279" s="1" t="inlineStr">
        <is>
          <t>10</t>
        </is>
      </c>
      <c r="F279" s="1" t="inlineStr">
        <is>
          <t>India</t>
        </is>
      </c>
      <c r="G279" s="1" t="n"/>
      <c r="H279" s="1" t="inlineStr">
        <is>
          <t>No</t>
        </is>
      </c>
      <c r="I279" s="1" t="n"/>
      <c r="J279" s="1" t="n"/>
      <c r="K279" s="1" t="inlineStr">
        <is>
          <t>In stock</t>
        </is>
      </c>
      <c r="L279" s="3" t="n">
        <v>16</v>
      </c>
      <c r="M279" s="4" t="b">
        <v>0</v>
      </c>
      <c r="N279" s="3" t="n">
        <v>6</v>
      </c>
      <c r="O279" s="1" t="n"/>
      <c r="P279" s="1" t="n"/>
      <c r="Q279" s="1" t="n"/>
      <c r="R279" s="1" t="n"/>
      <c r="S279" s="1" t="inlineStr">
        <is>
          <t>Mobile (travels with robot)</t>
        </is>
      </c>
      <c r="T279" s="2" t="inlineStr">
        <is>
          <t>To Be ordered from McMaster if needed Lead time 1 day</t>
        </is>
      </c>
      <c r="U279" s="3" t="n">
        <v>264</v>
      </c>
      <c r="V279" s="1">
        <f>IF($K279="To be purchased",COUNTIF($K$2:$K279,"To be purchased"),"")</f>
        <v/>
      </c>
    </row>
    <row r="280">
      <c r="A280" s="1" t="inlineStr">
        <is>
          <t>Mechanical parts</t>
        </is>
      </c>
      <c r="B280" s="2" t="inlineStr">
        <is>
          <t>Bolt - Socket Cap (SHCS), M4 x 12 mm</t>
        </is>
      </c>
      <c r="C280" s="2" t="inlineStr">
        <is>
          <t>16-A Bolts - M4</t>
        </is>
      </c>
      <c r="D280" s="1" t="inlineStr">
        <is>
          <t>Kaustubh</t>
        </is>
      </c>
      <c r="E280" s="1" t="inlineStr">
        <is>
          <t>10</t>
        </is>
      </c>
      <c r="F280" s="1" t="inlineStr">
        <is>
          <t>India</t>
        </is>
      </c>
      <c r="G280" s="1" t="n"/>
      <c r="H280" s="1" t="inlineStr">
        <is>
          <t>No</t>
        </is>
      </c>
      <c r="I280" s="1" t="n"/>
      <c r="J280" s="1" t="n"/>
      <c r="K280" s="1" t="inlineStr">
        <is>
          <t>In stock</t>
        </is>
      </c>
      <c r="L280" s="3" t="n">
        <v>16</v>
      </c>
      <c r="M280" s="4" t="b">
        <v>0</v>
      </c>
      <c r="N280" s="3" t="n">
        <v>6</v>
      </c>
      <c r="O280" s="1" t="n"/>
      <c r="P280" s="1" t="n"/>
      <c r="Q280" s="1" t="n"/>
      <c r="R280" s="1" t="n"/>
      <c r="S280" s="1" t="inlineStr">
        <is>
          <t>Mobile (travels with robot)</t>
        </is>
      </c>
      <c r="T280" s="2" t="inlineStr">
        <is>
          <t>To Be ordered from McMaster if needed Lead time 1 day</t>
        </is>
      </c>
      <c r="U280" s="3" t="n">
        <v>265</v>
      </c>
      <c r="V280" s="1">
        <f>IF($K280="To be purchased",COUNTIF($K$2:$K280,"To be purchased"),"")</f>
        <v/>
      </c>
    </row>
    <row r="281">
      <c r="A281" s="1" t="inlineStr">
        <is>
          <t>Mechanical parts</t>
        </is>
      </c>
      <c r="B281" s="2" t="inlineStr">
        <is>
          <t>Bolt - Socket Cap (SHCS), M4 x 16 mm</t>
        </is>
      </c>
      <c r="C281" s="2" t="inlineStr">
        <is>
          <t>16-A Bolts - M4</t>
        </is>
      </c>
      <c r="D281" s="1" t="inlineStr">
        <is>
          <t>Kaustubh</t>
        </is>
      </c>
      <c r="E281" s="1" t="inlineStr">
        <is>
          <t>20</t>
        </is>
      </c>
      <c r="F281" s="1" t="inlineStr">
        <is>
          <t>India</t>
        </is>
      </c>
      <c r="G281" s="1" t="n"/>
      <c r="H281" s="1" t="inlineStr">
        <is>
          <t>No</t>
        </is>
      </c>
      <c r="I281" s="1" t="n"/>
      <c r="J281" s="1" t="n"/>
      <c r="K281" s="1" t="inlineStr">
        <is>
          <t>In stock</t>
        </is>
      </c>
      <c r="L281" s="3" t="n">
        <v>16</v>
      </c>
      <c r="M281" s="4" t="b">
        <v>0</v>
      </c>
      <c r="N281" s="3" t="n">
        <v>6</v>
      </c>
      <c r="O281" s="1" t="n"/>
      <c r="P281" s="1" t="n"/>
      <c r="Q281" s="1" t="n"/>
      <c r="R281" s="1" t="n"/>
      <c r="S281" s="1" t="inlineStr">
        <is>
          <t>Mobile (travels with robot)</t>
        </is>
      </c>
      <c r="T281" s="2" t="inlineStr">
        <is>
          <t>To Be ordered from McMaster if needed Lead time 1 day</t>
        </is>
      </c>
      <c r="U281" s="3" t="n">
        <v>266</v>
      </c>
      <c r="V281" s="1">
        <f>IF($K281="To be purchased",COUNTIF($K$2:$K281,"To be purchased"),"")</f>
        <v/>
      </c>
    </row>
    <row r="282">
      <c r="A282" s="1" t="inlineStr">
        <is>
          <t>Mechanical parts</t>
        </is>
      </c>
      <c r="B282" s="2" t="inlineStr">
        <is>
          <t>Bolt - Socket Cap (SHCS), M4 x 20 mm</t>
        </is>
      </c>
      <c r="C282" s="2" t="inlineStr">
        <is>
          <t>16-A Bolts - M4</t>
        </is>
      </c>
      <c r="D282" s="1" t="inlineStr">
        <is>
          <t>Kaustubh</t>
        </is>
      </c>
      <c r="E282" s="1" t="inlineStr">
        <is>
          <t>10</t>
        </is>
      </c>
      <c r="F282" s="1" t="inlineStr">
        <is>
          <t>India</t>
        </is>
      </c>
      <c r="G282" s="1" t="n"/>
      <c r="H282" s="1" t="inlineStr">
        <is>
          <t>No</t>
        </is>
      </c>
      <c r="I282" s="1" t="n"/>
      <c r="J282" s="1" t="n"/>
      <c r="K282" s="1" t="inlineStr">
        <is>
          <t>In stock</t>
        </is>
      </c>
      <c r="L282" s="3" t="n">
        <v>16</v>
      </c>
      <c r="M282" s="4" t="b">
        <v>0</v>
      </c>
      <c r="N282" s="3" t="n">
        <v>6</v>
      </c>
      <c r="O282" s="1" t="n"/>
      <c r="P282" s="1" t="n"/>
      <c r="Q282" s="1" t="n"/>
      <c r="R282" s="1" t="n"/>
      <c r="S282" s="1" t="inlineStr">
        <is>
          <t>Mobile (travels with robot)</t>
        </is>
      </c>
      <c r="T282" s="2" t="inlineStr">
        <is>
          <t>To Be ordered from McMaster if needed Lead time 1 day</t>
        </is>
      </c>
      <c r="U282" s="3" t="n">
        <v>267</v>
      </c>
      <c r="V282" s="1">
        <f>IF($K282="To be purchased",COUNTIF($K$2:$K282,"To be purchased"),"")</f>
        <v/>
      </c>
    </row>
    <row r="283">
      <c r="A283" s="1" t="inlineStr">
        <is>
          <t>Mechanical parts</t>
        </is>
      </c>
      <c r="B283" s="2" t="inlineStr">
        <is>
          <t>Bolt - Socket Cap (SHCS), M4 x 25 mm</t>
        </is>
      </c>
      <c r="C283" s="2" t="inlineStr">
        <is>
          <t>16-A Bolts - M4</t>
        </is>
      </c>
      <c r="D283" s="1" t="inlineStr">
        <is>
          <t>Kaustubh</t>
        </is>
      </c>
      <c r="E283" s="1" t="inlineStr">
        <is>
          <t>10</t>
        </is>
      </c>
      <c r="F283" s="1" t="inlineStr">
        <is>
          <t>India</t>
        </is>
      </c>
      <c r="G283" s="1" t="n"/>
      <c r="H283" s="1" t="inlineStr">
        <is>
          <t>No</t>
        </is>
      </c>
      <c r="I283" s="1" t="n"/>
      <c r="J283" s="1" t="n"/>
      <c r="K283" s="1" t="inlineStr">
        <is>
          <t>In stock</t>
        </is>
      </c>
      <c r="L283" s="3" t="n">
        <v>16</v>
      </c>
      <c r="M283" s="4" t="b">
        <v>0</v>
      </c>
      <c r="N283" s="3" t="n">
        <v>6</v>
      </c>
      <c r="O283" s="1" t="n"/>
      <c r="P283" s="1" t="n"/>
      <c r="Q283" s="1" t="n"/>
      <c r="R283" s="1" t="n"/>
      <c r="S283" s="1" t="inlineStr">
        <is>
          <t>Mobile (travels with robot)</t>
        </is>
      </c>
      <c r="T283" s="2" t="inlineStr">
        <is>
          <t>To Be ordered from McMaster if needed Lead time 1 day</t>
        </is>
      </c>
      <c r="U283" s="3" t="n">
        <v>268</v>
      </c>
      <c r="V283" s="1">
        <f>IF($K283="To be purchased",COUNTIF($K$2:$K283,"To be purchased"),"")</f>
        <v/>
      </c>
    </row>
    <row r="284">
      <c r="A284" s="1" t="inlineStr">
        <is>
          <t>Mechanical parts</t>
        </is>
      </c>
      <c r="B284" s="2" t="inlineStr">
        <is>
          <t>Bolt - Socket Cap (SHCS), M4 x 30 mm</t>
        </is>
      </c>
      <c r="C284" s="2" t="inlineStr">
        <is>
          <t>16-A Bolts - M4</t>
        </is>
      </c>
      <c r="D284" s="1" t="inlineStr">
        <is>
          <t>Kaustubh</t>
        </is>
      </c>
      <c r="E284" s="1" t="inlineStr">
        <is>
          <t>10</t>
        </is>
      </c>
      <c r="F284" s="1" t="inlineStr">
        <is>
          <t>India</t>
        </is>
      </c>
      <c r="G284" s="1" t="n"/>
      <c r="H284" s="1" t="inlineStr">
        <is>
          <t>No</t>
        </is>
      </c>
      <c r="I284" s="1" t="n"/>
      <c r="J284" s="1" t="n"/>
      <c r="K284" s="1" t="inlineStr">
        <is>
          <t>In stock</t>
        </is>
      </c>
      <c r="L284" s="3" t="n">
        <v>16</v>
      </c>
      <c r="M284" s="4" t="b">
        <v>0</v>
      </c>
      <c r="N284" s="3" t="n">
        <v>6</v>
      </c>
      <c r="O284" s="1" t="n"/>
      <c r="P284" s="1" t="n"/>
      <c r="Q284" s="1" t="n"/>
      <c r="R284" s="1" t="n"/>
      <c r="S284" s="1" t="inlineStr">
        <is>
          <t>Mobile (travels with robot)</t>
        </is>
      </c>
      <c r="T284" s="2" t="inlineStr">
        <is>
          <t>To Be ordered from McMaster if needed Lead time 1 day</t>
        </is>
      </c>
      <c r="U284" s="3" t="n">
        <v>269</v>
      </c>
      <c r="V284" s="1">
        <f>IF($K284="To be purchased",COUNTIF($K$2:$K284,"To be purchased"),"")</f>
        <v/>
      </c>
    </row>
    <row r="285">
      <c r="A285" s="1" t="inlineStr">
        <is>
          <t>Mechanical parts</t>
        </is>
      </c>
      <c r="B285" s="2" t="inlineStr">
        <is>
          <t>Bolt - Socket Cap (SHCS), M4 x 35 mm</t>
        </is>
      </c>
      <c r="C285" s="2" t="inlineStr">
        <is>
          <t>16-A Bolts - M4</t>
        </is>
      </c>
      <c r="D285" s="1" t="inlineStr">
        <is>
          <t>Kaustubh</t>
        </is>
      </c>
      <c r="E285" s="1" t="inlineStr">
        <is>
          <t>10</t>
        </is>
      </c>
      <c r="F285" s="1" t="inlineStr">
        <is>
          <t>India</t>
        </is>
      </c>
      <c r="G285" s="1" t="n"/>
      <c r="H285" s="1" t="inlineStr">
        <is>
          <t>No</t>
        </is>
      </c>
      <c r="I285" s="1" t="n"/>
      <c r="J285" s="1" t="n"/>
      <c r="K285" s="1" t="inlineStr">
        <is>
          <t>In stock</t>
        </is>
      </c>
      <c r="L285" s="3" t="n">
        <v>16</v>
      </c>
      <c r="M285" s="4" t="b">
        <v>0</v>
      </c>
      <c r="N285" s="3" t="n">
        <v>6</v>
      </c>
      <c r="O285" s="1" t="n"/>
      <c r="P285" s="1" t="n"/>
      <c r="Q285" s="1" t="n"/>
      <c r="R285" s="1" t="n"/>
      <c r="S285" s="1" t="inlineStr">
        <is>
          <t>Mobile (travels with robot)</t>
        </is>
      </c>
      <c r="T285" s="2" t="inlineStr">
        <is>
          <t>To Be ordered from McMaster if needed Lead time 1 day</t>
        </is>
      </c>
      <c r="U285" s="3" t="n">
        <v>270</v>
      </c>
      <c r="V285" s="1">
        <f>IF($K285="To be purchased",COUNTIF($K$2:$K285,"To be purchased"),"")</f>
        <v/>
      </c>
    </row>
    <row r="286">
      <c r="A286" s="1" t="inlineStr">
        <is>
          <t>Mechanical parts</t>
        </is>
      </c>
      <c r="B286" s="2" t="inlineStr">
        <is>
          <t>Bolt - Socket Cap (SHCS), M4 x 40 mm</t>
        </is>
      </c>
      <c r="C286" s="2" t="inlineStr">
        <is>
          <t>16-A Bolts - M4</t>
        </is>
      </c>
      <c r="D286" s="1" t="inlineStr">
        <is>
          <t>Kaustubh</t>
        </is>
      </c>
      <c r="E286" s="1" t="inlineStr">
        <is>
          <t>10</t>
        </is>
      </c>
      <c r="F286" s="1" t="inlineStr">
        <is>
          <t>India</t>
        </is>
      </c>
      <c r="G286" s="1" t="n"/>
      <c r="H286" s="1" t="inlineStr">
        <is>
          <t>No</t>
        </is>
      </c>
      <c r="I286" s="1" t="n"/>
      <c r="J286" s="1" t="n"/>
      <c r="K286" s="1" t="inlineStr">
        <is>
          <t>In stock</t>
        </is>
      </c>
      <c r="L286" s="3" t="n">
        <v>16</v>
      </c>
      <c r="M286" s="4" t="b">
        <v>0</v>
      </c>
      <c r="N286" s="3" t="n">
        <v>6</v>
      </c>
      <c r="O286" s="1" t="n"/>
      <c r="P286" s="1" t="n"/>
      <c r="Q286" s="1" t="n"/>
      <c r="R286" s="1" t="n"/>
      <c r="S286" s="1" t="inlineStr">
        <is>
          <t>Mobile (travels with robot)</t>
        </is>
      </c>
      <c r="T286" s="2" t="inlineStr">
        <is>
          <t>To Be ordered from McMaster if needed Lead time 1 day</t>
        </is>
      </c>
      <c r="U286" s="3" t="n">
        <v>271</v>
      </c>
      <c r="V286" s="1">
        <f>IF($K286="To be purchased",COUNTIF($K$2:$K286,"To be purchased"),"")</f>
        <v/>
      </c>
    </row>
    <row r="287">
      <c r="A287" s="1" t="inlineStr">
        <is>
          <t>Mechanical parts</t>
        </is>
      </c>
      <c r="B287" s="2" t="inlineStr">
        <is>
          <t>Bolt - Countersunk (CSK), M4 x 12 mm</t>
        </is>
      </c>
      <c r="C287" s="2" t="inlineStr">
        <is>
          <t>16-A Bolts - M4</t>
        </is>
      </c>
      <c r="D287" s="1" t="inlineStr">
        <is>
          <t>Kaustubh</t>
        </is>
      </c>
      <c r="E287" s="1" t="inlineStr">
        <is>
          <t>10</t>
        </is>
      </c>
      <c r="F287" s="1" t="inlineStr">
        <is>
          <t>India</t>
        </is>
      </c>
      <c r="G287" s="1" t="n"/>
      <c r="H287" s="1" t="inlineStr">
        <is>
          <t>No</t>
        </is>
      </c>
      <c r="I287" s="1" t="n"/>
      <c r="J287" s="1" t="n"/>
      <c r="K287" s="1" t="inlineStr">
        <is>
          <t>In stock</t>
        </is>
      </c>
      <c r="L287" s="3" t="n">
        <v>16</v>
      </c>
      <c r="M287" s="4" t="b">
        <v>0</v>
      </c>
      <c r="N287" s="3" t="n">
        <v>6</v>
      </c>
      <c r="O287" s="1" t="n"/>
      <c r="P287" s="1" t="n"/>
      <c r="Q287" s="1" t="n"/>
      <c r="R287" s="1" t="n"/>
      <c r="S287" s="1" t="inlineStr">
        <is>
          <t>Mobile (travels with robot)</t>
        </is>
      </c>
      <c r="T287" s="2" t="inlineStr">
        <is>
          <t>To Be ordered from McMaster if needed Lead time 1 day</t>
        </is>
      </c>
      <c r="U287" s="3" t="n">
        <v>272</v>
      </c>
      <c r="V287" s="1">
        <f>IF($K287="To be purchased",COUNTIF($K$2:$K287,"To be purchased"),"")</f>
        <v/>
      </c>
    </row>
    <row r="288">
      <c r="A288" s="1" t="inlineStr">
        <is>
          <t>Mechanical parts</t>
        </is>
      </c>
      <c r="B288" s="2" t="inlineStr">
        <is>
          <t>Bolt - Countersunk (CSK), M4 x 16 mm</t>
        </is>
      </c>
      <c r="C288" s="2" t="inlineStr">
        <is>
          <t>16-A Bolts - M4</t>
        </is>
      </c>
      <c r="D288" s="1" t="inlineStr">
        <is>
          <t>Kaustubh</t>
        </is>
      </c>
      <c r="E288" s="1" t="inlineStr">
        <is>
          <t>10</t>
        </is>
      </c>
      <c r="F288" s="1" t="inlineStr">
        <is>
          <t>India</t>
        </is>
      </c>
      <c r="G288" s="1" t="n"/>
      <c r="H288" s="1" t="inlineStr">
        <is>
          <t>No</t>
        </is>
      </c>
      <c r="I288" s="1" t="n"/>
      <c r="J288" s="1" t="n"/>
      <c r="K288" s="1" t="inlineStr">
        <is>
          <t>In stock</t>
        </is>
      </c>
      <c r="L288" s="3" t="n">
        <v>16</v>
      </c>
      <c r="M288" s="4" t="b">
        <v>0</v>
      </c>
      <c r="N288" s="3" t="n">
        <v>6</v>
      </c>
      <c r="O288" s="1" t="n"/>
      <c r="P288" s="1" t="n"/>
      <c r="Q288" s="1" t="n"/>
      <c r="R288" s="1" t="n"/>
      <c r="S288" s="1" t="inlineStr">
        <is>
          <t>Mobile (travels with robot)</t>
        </is>
      </c>
      <c r="T288" s="2" t="inlineStr">
        <is>
          <t>To Be ordered from McMaster if needed Lead time 1 day</t>
        </is>
      </c>
      <c r="U288" s="3" t="n">
        <v>273</v>
      </c>
      <c r="V288" s="1">
        <f>IF($K288="To be purchased",COUNTIF($K$2:$K288,"To be purchased"),"")</f>
        <v/>
      </c>
    </row>
    <row r="289">
      <c r="A289" s="1" t="inlineStr">
        <is>
          <t>Mechanical parts</t>
        </is>
      </c>
      <c r="B289" s="2" t="inlineStr">
        <is>
          <t>Bolt - Socket Cap (SHCS), M5 x 8 mm</t>
        </is>
      </c>
      <c r="C289" s="2" t="inlineStr">
        <is>
          <t>16-A Bolts - M5</t>
        </is>
      </c>
      <c r="D289" s="1" t="inlineStr">
        <is>
          <t>Kaustubh</t>
        </is>
      </c>
      <c r="E289" s="1" t="inlineStr">
        <is>
          <t>10</t>
        </is>
      </c>
      <c r="F289" s="1" t="inlineStr">
        <is>
          <t>India</t>
        </is>
      </c>
      <c r="G289" s="1" t="n"/>
      <c r="H289" s="1" t="inlineStr">
        <is>
          <t>No</t>
        </is>
      </c>
      <c r="I289" s="1" t="n"/>
      <c r="J289" s="1" t="n"/>
      <c r="K289" s="1" t="inlineStr">
        <is>
          <t>In stock</t>
        </is>
      </c>
      <c r="L289" s="3" t="n">
        <v>16</v>
      </c>
      <c r="M289" s="4" t="b">
        <v>0</v>
      </c>
      <c r="N289" s="3" t="n">
        <v>6</v>
      </c>
      <c r="O289" s="1" t="n"/>
      <c r="P289" s="1" t="n"/>
      <c r="Q289" s="1" t="n"/>
      <c r="R289" s="1" t="n"/>
      <c r="S289" s="1" t="inlineStr">
        <is>
          <t>Mobile (travels with robot)</t>
        </is>
      </c>
      <c r="T289" s="2" t="inlineStr">
        <is>
          <t>To Be ordered from McMaster if needed Lead time 1 day</t>
        </is>
      </c>
      <c r="U289" s="3" t="n">
        <v>274</v>
      </c>
      <c r="V289" s="1">
        <f>IF($K289="To be purchased",COUNTIF($K$2:$K289,"To be purchased"),"")</f>
        <v/>
      </c>
    </row>
    <row r="290">
      <c r="A290" s="1" t="inlineStr">
        <is>
          <t>Mechanical parts</t>
        </is>
      </c>
      <c r="B290" s="2" t="inlineStr">
        <is>
          <t>Bolt - Socket Cap (SHCS), M5 x 10 mm</t>
        </is>
      </c>
      <c r="C290" s="2" t="inlineStr">
        <is>
          <t>16-A Bolts - M5</t>
        </is>
      </c>
      <c r="D290" s="1" t="inlineStr">
        <is>
          <t>Kaustubh</t>
        </is>
      </c>
      <c r="E290" s="1" t="inlineStr">
        <is>
          <t>10</t>
        </is>
      </c>
      <c r="F290" s="1" t="inlineStr">
        <is>
          <t>India</t>
        </is>
      </c>
      <c r="G290" s="1" t="n"/>
      <c r="H290" s="1" t="inlineStr">
        <is>
          <t>No</t>
        </is>
      </c>
      <c r="I290" s="1" t="n"/>
      <c r="J290" s="1" t="n"/>
      <c r="K290" s="1" t="inlineStr">
        <is>
          <t>In stock</t>
        </is>
      </c>
      <c r="L290" s="3" t="n">
        <v>16</v>
      </c>
      <c r="M290" s="4" t="b">
        <v>0</v>
      </c>
      <c r="N290" s="3" t="n">
        <v>6</v>
      </c>
      <c r="O290" s="1" t="n"/>
      <c r="P290" s="1" t="n"/>
      <c r="Q290" s="1" t="n"/>
      <c r="R290" s="1" t="n"/>
      <c r="S290" s="1" t="inlineStr">
        <is>
          <t>Mobile (travels with robot)</t>
        </is>
      </c>
      <c r="T290" s="2" t="inlineStr">
        <is>
          <t>To Be ordered from McMaster if needed Lead time 1 day</t>
        </is>
      </c>
      <c r="U290" s="3" t="n">
        <v>275</v>
      </c>
      <c r="V290" s="1">
        <f>IF($K290="To be purchased",COUNTIF($K$2:$K290,"To be purchased"),"")</f>
        <v/>
      </c>
    </row>
    <row r="291">
      <c r="A291" s="1" t="inlineStr">
        <is>
          <t>Mechanical parts</t>
        </is>
      </c>
      <c r="B291" s="2" t="inlineStr">
        <is>
          <t>Bolt - Socket Cap (SHCS), M5 x 12 mm</t>
        </is>
      </c>
      <c r="C291" s="2" t="inlineStr">
        <is>
          <t>16-A Bolts - M5</t>
        </is>
      </c>
      <c r="D291" s="1" t="inlineStr">
        <is>
          <t>Kaustubh</t>
        </is>
      </c>
      <c r="E291" s="1" t="inlineStr">
        <is>
          <t>10</t>
        </is>
      </c>
      <c r="F291" s="1" t="inlineStr">
        <is>
          <t>India</t>
        </is>
      </c>
      <c r="G291" s="1" t="n"/>
      <c r="H291" s="1" t="inlineStr">
        <is>
          <t>No</t>
        </is>
      </c>
      <c r="I291" s="1" t="n"/>
      <c r="J291" s="1" t="n"/>
      <c r="K291" s="1" t="inlineStr">
        <is>
          <t>In stock</t>
        </is>
      </c>
      <c r="L291" s="3" t="n">
        <v>16</v>
      </c>
      <c r="M291" s="4" t="b">
        <v>0</v>
      </c>
      <c r="N291" s="3" t="n">
        <v>6</v>
      </c>
      <c r="O291" s="1" t="n"/>
      <c r="P291" s="1" t="n"/>
      <c r="Q291" s="1" t="n"/>
      <c r="R291" s="1" t="n"/>
      <c r="S291" s="1" t="inlineStr">
        <is>
          <t>Mobile (travels with robot)</t>
        </is>
      </c>
      <c r="T291" s="2" t="inlineStr">
        <is>
          <t>To Be ordered from McMaster if needed Lead time 1 day</t>
        </is>
      </c>
      <c r="U291" s="3" t="n">
        <v>276</v>
      </c>
      <c r="V291" s="1">
        <f>IF($K291="To be purchased",COUNTIF($K$2:$K291,"To be purchased"),"")</f>
        <v/>
      </c>
    </row>
    <row r="292">
      <c r="A292" s="1" t="inlineStr">
        <is>
          <t>Mechanical parts</t>
        </is>
      </c>
      <c r="B292" s="2" t="inlineStr">
        <is>
          <t>Bolt - Socket Cap (SHCS), M5 x 16 mm</t>
        </is>
      </c>
      <c r="C292" s="2" t="inlineStr">
        <is>
          <t>16-A Bolts - M5</t>
        </is>
      </c>
      <c r="D292" s="1" t="inlineStr">
        <is>
          <t>Kaustubh</t>
        </is>
      </c>
      <c r="E292" s="1" t="inlineStr">
        <is>
          <t>20</t>
        </is>
      </c>
      <c r="F292" s="1" t="inlineStr">
        <is>
          <t>India</t>
        </is>
      </c>
      <c r="G292" s="1" t="n"/>
      <c r="H292" s="1" t="inlineStr">
        <is>
          <t>No</t>
        </is>
      </c>
      <c r="I292" s="1" t="n"/>
      <c r="J292" s="1" t="n"/>
      <c r="K292" s="1" t="inlineStr">
        <is>
          <t>In stock</t>
        </is>
      </c>
      <c r="L292" s="3" t="n">
        <v>16</v>
      </c>
      <c r="M292" s="4" t="b">
        <v>0</v>
      </c>
      <c r="N292" s="3" t="n">
        <v>6</v>
      </c>
      <c r="O292" s="1" t="n"/>
      <c r="P292" s="1" t="n"/>
      <c r="Q292" s="1" t="n"/>
      <c r="R292" s="1" t="n"/>
      <c r="S292" s="1" t="inlineStr">
        <is>
          <t>Mobile (travels with robot)</t>
        </is>
      </c>
      <c r="T292" s="2" t="inlineStr">
        <is>
          <t>To Be ordered from McMaster if needed Lead time 1 day</t>
        </is>
      </c>
      <c r="U292" s="3" t="n">
        <v>277</v>
      </c>
      <c r="V292" s="1">
        <f>IF($K292="To be purchased",COUNTIF($K$2:$K292,"To be purchased"),"")</f>
        <v/>
      </c>
    </row>
    <row r="293">
      <c r="A293" s="1" t="inlineStr">
        <is>
          <t>Mechanical parts</t>
        </is>
      </c>
      <c r="B293" s="2" t="inlineStr">
        <is>
          <t>Bolt - Socket Cap (SHCS), M5 x 20 mm</t>
        </is>
      </c>
      <c r="C293" s="2" t="inlineStr">
        <is>
          <t>16-A Bolts - M5</t>
        </is>
      </c>
      <c r="D293" s="1" t="inlineStr">
        <is>
          <t>Kaustubh</t>
        </is>
      </c>
      <c r="E293" s="1" t="inlineStr">
        <is>
          <t>10</t>
        </is>
      </c>
      <c r="F293" s="1" t="inlineStr">
        <is>
          <t>India</t>
        </is>
      </c>
      <c r="G293" s="1" t="n"/>
      <c r="H293" s="1" t="inlineStr">
        <is>
          <t>No</t>
        </is>
      </c>
      <c r="I293" s="1" t="n"/>
      <c r="J293" s="1" t="n"/>
      <c r="K293" s="1" t="inlineStr">
        <is>
          <t>In stock</t>
        </is>
      </c>
      <c r="L293" s="3" t="n">
        <v>16</v>
      </c>
      <c r="M293" s="4" t="b">
        <v>0</v>
      </c>
      <c r="N293" s="3" t="n">
        <v>6</v>
      </c>
      <c r="O293" s="1" t="n"/>
      <c r="P293" s="1" t="n"/>
      <c r="Q293" s="1" t="n"/>
      <c r="R293" s="1" t="n"/>
      <c r="S293" s="1" t="inlineStr">
        <is>
          <t>Mobile (travels with robot)</t>
        </is>
      </c>
      <c r="T293" s="2" t="inlineStr">
        <is>
          <t>To Be ordered from McMaster if needed Lead time 1 day</t>
        </is>
      </c>
      <c r="U293" s="3" t="n">
        <v>278</v>
      </c>
      <c r="V293" s="1">
        <f>IF($K293="To be purchased",COUNTIF($K$2:$K293,"To be purchased"),"")</f>
        <v/>
      </c>
    </row>
    <row r="294">
      <c r="A294" s="1" t="inlineStr">
        <is>
          <t>Mechanical parts</t>
        </is>
      </c>
      <c r="B294" s="2" t="inlineStr">
        <is>
          <t>Bolt - Socket Cap (SHCS), M5 x 25 mm</t>
        </is>
      </c>
      <c r="C294" s="2" t="inlineStr">
        <is>
          <t>16-A Bolts - M5</t>
        </is>
      </c>
      <c r="D294" s="1" t="inlineStr">
        <is>
          <t>Kaustubh</t>
        </is>
      </c>
      <c r="E294" s="1" t="inlineStr">
        <is>
          <t>10</t>
        </is>
      </c>
      <c r="F294" s="1" t="inlineStr">
        <is>
          <t>India</t>
        </is>
      </c>
      <c r="G294" s="1" t="n"/>
      <c r="H294" s="1" t="inlineStr">
        <is>
          <t>No</t>
        </is>
      </c>
      <c r="I294" s="1" t="n"/>
      <c r="J294" s="1" t="n"/>
      <c r="K294" s="1" t="inlineStr">
        <is>
          <t>In stock</t>
        </is>
      </c>
      <c r="L294" s="3" t="n">
        <v>16</v>
      </c>
      <c r="M294" s="4" t="b">
        <v>0</v>
      </c>
      <c r="N294" s="3" t="n">
        <v>6</v>
      </c>
      <c r="O294" s="1" t="n"/>
      <c r="P294" s="1" t="n"/>
      <c r="Q294" s="1" t="n"/>
      <c r="R294" s="1" t="n"/>
      <c r="S294" s="1" t="inlineStr">
        <is>
          <t>Mobile (travels with robot)</t>
        </is>
      </c>
      <c r="T294" s="2" t="inlineStr">
        <is>
          <t>To Be ordered from McMaster if needed Lead time 1 day</t>
        </is>
      </c>
      <c r="U294" s="3" t="n">
        <v>279</v>
      </c>
      <c r="V294" s="1">
        <f>IF($K294="To be purchased",COUNTIF($K$2:$K294,"To be purchased"),"")</f>
        <v/>
      </c>
    </row>
    <row r="295">
      <c r="A295" s="1" t="inlineStr">
        <is>
          <t>Mechanical parts</t>
        </is>
      </c>
      <c r="B295" s="2" t="inlineStr">
        <is>
          <t>Bolt - Socket Cap (SHCS), M5 x 30 mm</t>
        </is>
      </c>
      <c r="C295" s="2" t="inlineStr">
        <is>
          <t>16-A Bolts - M5</t>
        </is>
      </c>
      <c r="D295" s="1" t="inlineStr">
        <is>
          <t>Kaustubh</t>
        </is>
      </c>
      <c r="E295" s="1" t="inlineStr">
        <is>
          <t>10</t>
        </is>
      </c>
      <c r="F295" s="1" t="inlineStr">
        <is>
          <t>India</t>
        </is>
      </c>
      <c r="G295" s="1" t="n"/>
      <c r="H295" s="1" t="inlineStr">
        <is>
          <t>No</t>
        </is>
      </c>
      <c r="I295" s="1" t="n"/>
      <c r="J295" s="1" t="n"/>
      <c r="K295" s="1" t="inlineStr">
        <is>
          <t>In stock</t>
        </is>
      </c>
      <c r="L295" s="3" t="n">
        <v>16</v>
      </c>
      <c r="M295" s="4" t="b">
        <v>0</v>
      </c>
      <c r="N295" s="3" t="n">
        <v>6</v>
      </c>
      <c r="O295" s="1" t="n"/>
      <c r="P295" s="1" t="n"/>
      <c r="Q295" s="1" t="n"/>
      <c r="R295" s="1" t="n"/>
      <c r="S295" s="1" t="inlineStr">
        <is>
          <t>Mobile (travels with robot)</t>
        </is>
      </c>
      <c r="T295" s="2" t="inlineStr">
        <is>
          <t>To Be ordered from McMaster if needed Lead time 1 day</t>
        </is>
      </c>
      <c r="U295" s="3" t="n">
        <v>280</v>
      </c>
      <c r="V295" s="1">
        <f>IF($K295="To be purchased",COUNTIF($K$2:$K295,"To be purchased"),"")</f>
        <v/>
      </c>
    </row>
    <row r="296">
      <c r="A296" s="1" t="inlineStr">
        <is>
          <t>Mechanical parts</t>
        </is>
      </c>
      <c r="B296" s="2" t="inlineStr">
        <is>
          <t>Bolt - Socket Cap (SHCS), M5 x 35 mm</t>
        </is>
      </c>
      <c r="C296" s="2" t="inlineStr">
        <is>
          <t>16-A Bolts - M5</t>
        </is>
      </c>
      <c r="D296" s="1" t="inlineStr">
        <is>
          <t>Kaustubh</t>
        </is>
      </c>
      <c r="E296" s="1" t="inlineStr">
        <is>
          <t>10</t>
        </is>
      </c>
      <c r="F296" s="1" t="inlineStr">
        <is>
          <t>India</t>
        </is>
      </c>
      <c r="G296" s="1" t="n"/>
      <c r="H296" s="1" t="inlineStr">
        <is>
          <t>No</t>
        </is>
      </c>
      <c r="I296" s="1" t="n"/>
      <c r="J296" s="1" t="n"/>
      <c r="K296" s="1" t="inlineStr">
        <is>
          <t>In stock</t>
        </is>
      </c>
      <c r="L296" s="3" t="n">
        <v>16</v>
      </c>
      <c r="M296" s="4" t="b">
        <v>0</v>
      </c>
      <c r="N296" s="3" t="n">
        <v>6</v>
      </c>
      <c r="O296" s="1" t="n"/>
      <c r="P296" s="1" t="n"/>
      <c r="Q296" s="1" t="n"/>
      <c r="R296" s="1" t="n"/>
      <c r="S296" s="1" t="inlineStr">
        <is>
          <t>Mobile (travels with robot)</t>
        </is>
      </c>
      <c r="T296" s="2" t="inlineStr">
        <is>
          <t>To Be ordered from McMaster if needed Lead time 1 day</t>
        </is>
      </c>
      <c r="U296" s="3" t="n">
        <v>281</v>
      </c>
      <c r="V296" s="1">
        <f>IF($K296="To be purchased",COUNTIF($K$2:$K296,"To be purchased"),"")</f>
        <v/>
      </c>
    </row>
    <row r="297">
      <c r="A297" s="1" t="inlineStr">
        <is>
          <t>Mechanical parts</t>
        </is>
      </c>
      <c r="B297" s="2" t="inlineStr">
        <is>
          <t>Bolt - Socket Cap (SHCS), M5 x 40 mm</t>
        </is>
      </c>
      <c r="C297" s="2" t="inlineStr">
        <is>
          <t>16-A Bolts - M5</t>
        </is>
      </c>
      <c r="D297" s="1" t="inlineStr">
        <is>
          <t>Kaustubh</t>
        </is>
      </c>
      <c r="E297" s="1" t="inlineStr">
        <is>
          <t>10</t>
        </is>
      </c>
      <c r="F297" s="1" t="inlineStr">
        <is>
          <t>India</t>
        </is>
      </c>
      <c r="G297" s="1" t="n"/>
      <c r="H297" s="1" t="inlineStr">
        <is>
          <t>No</t>
        </is>
      </c>
      <c r="I297" s="1" t="n"/>
      <c r="J297" s="1" t="n"/>
      <c r="K297" s="1" t="inlineStr">
        <is>
          <t>In stock</t>
        </is>
      </c>
      <c r="L297" s="3" t="n">
        <v>16</v>
      </c>
      <c r="M297" s="4" t="b">
        <v>0</v>
      </c>
      <c r="N297" s="3" t="n">
        <v>6</v>
      </c>
      <c r="O297" s="1" t="n"/>
      <c r="P297" s="1" t="n"/>
      <c r="Q297" s="1" t="n"/>
      <c r="R297" s="1" t="n"/>
      <c r="S297" s="1" t="inlineStr">
        <is>
          <t>Mobile (travels with robot)</t>
        </is>
      </c>
      <c r="T297" s="2" t="inlineStr">
        <is>
          <t>To Be ordered from McMaster if needed Lead time 1 day</t>
        </is>
      </c>
      <c r="U297" s="3" t="n">
        <v>282</v>
      </c>
      <c r="V297" s="1">
        <f>IF($K297="To be purchased",COUNTIF($K$2:$K297,"To be purchased"),"")</f>
        <v/>
      </c>
    </row>
    <row r="298">
      <c r="A298" s="1" t="inlineStr">
        <is>
          <t>Mechanical parts</t>
        </is>
      </c>
      <c r="B298" s="2" t="inlineStr">
        <is>
          <t>Bolt - Socket Cap (SHCS), M5 x 50 mm</t>
        </is>
      </c>
      <c r="C298" s="2" t="inlineStr">
        <is>
          <t>16-A Bolts - M5</t>
        </is>
      </c>
      <c r="D298" s="1" t="inlineStr">
        <is>
          <t>Kaustubh</t>
        </is>
      </c>
      <c r="E298" s="1" t="inlineStr">
        <is>
          <t>10</t>
        </is>
      </c>
      <c r="F298" s="1" t="inlineStr">
        <is>
          <t>India</t>
        </is>
      </c>
      <c r="G298" s="1" t="n"/>
      <c r="H298" s="1" t="inlineStr">
        <is>
          <t>No</t>
        </is>
      </c>
      <c r="I298" s="1" t="n"/>
      <c r="J298" s="1" t="n"/>
      <c r="K298" s="1" t="inlineStr">
        <is>
          <t>In stock</t>
        </is>
      </c>
      <c r="L298" s="3" t="n">
        <v>16</v>
      </c>
      <c r="M298" s="4" t="b">
        <v>0</v>
      </c>
      <c r="N298" s="3" t="n">
        <v>6</v>
      </c>
      <c r="O298" s="1" t="n"/>
      <c r="P298" s="1" t="n"/>
      <c r="Q298" s="1" t="n"/>
      <c r="R298" s="1" t="n"/>
      <c r="S298" s="1" t="inlineStr">
        <is>
          <t>Mobile (travels with robot)</t>
        </is>
      </c>
      <c r="T298" s="2" t="inlineStr">
        <is>
          <t>To Be ordered from McMaster if needed Lead time 1 day</t>
        </is>
      </c>
      <c r="U298" s="3" t="n">
        <v>283</v>
      </c>
      <c r="V298" s="1">
        <f>IF($K298="To be purchased",COUNTIF($K$2:$K298,"To be purchased"),"")</f>
        <v/>
      </c>
    </row>
    <row r="299">
      <c r="A299" s="1" t="inlineStr">
        <is>
          <t>Mechanical parts</t>
        </is>
      </c>
      <c r="B299" s="2" t="inlineStr">
        <is>
          <t>Bolt - Countersunk (CSK), M5 x 12 mm</t>
        </is>
      </c>
      <c r="C299" s="2" t="inlineStr">
        <is>
          <t>16-A Bolts - M5</t>
        </is>
      </c>
      <c r="D299" s="1" t="inlineStr">
        <is>
          <t>Kaustubh</t>
        </is>
      </c>
      <c r="E299" s="1" t="inlineStr">
        <is>
          <t>10</t>
        </is>
      </c>
      <c r="F299" s="1" t="inlineStr">
        <is>
          <t>India</t>
        </is>
      </c>
      <c r="G299" s="1" t="n"/>
      <c r="H299" s="1" t="inlineStr">
        <is>
          <t>No</t>
        </is>
      </c>
      <c r="I299" s="1" t="n"/>
      <c r="J299" s="1" t="n"/>
      <c r="K299" s="1" t="inlineStr">
        <is>
          <t>In stock</t>
        </is>
      </c>
      <c r="L299" s="3" t="n">
        <v>16</v>
      </c>
      <c r="M299" s="4" t="b">
        <v>0</v>
      </c>
      <c r="N299" s="3" t="n">
        <v>6</v>
      </c>
      <c r="O299" s="1" t="n"/>
      <c r="P299" s="1" t="n"/>
      <c r="Q299" s="1" t="n"/>
      <c r="R299" s="1" t="n"/>
      <c r="S299" s="1" t="inlineStr">
        <is>
          <t>Mobile (travels with robot)</t>
        </is>
      </c>
      <c r="T299" s="2" t="inlineStr">
        <is>
          <t>To Be ordered from McMaster if needed Lead time 1 day</t>
        </is>
      </c>
      <c r="U299" s="3" t="n">
        <v>284</v>
      </c>
      <c r="V299" s="1">
        <f>IF($K299="To be purchased",COUNTIF($K$2:$K299,"To be purchased"),"")</f>
        <v/>
      </c>
    </row>
    <row r="300">
      <c r="A300" s="1" t="inlineStr">
        <is>
          <t>Mechanical parts</t>
        </is>
      </c>
      <c r="B300" s="2" t="inlineStr">
        <is>
          <t>Bolt - Countersunk (CSK), M5 x 16 mm</t>
        </is>
      </c>
      <c r="C300" s="2" t="inlineStr">
        <is>
          <t>16-A Bolts - M5</t>
        </is>
      </c>
      <c r="D300" s="1" t="inlineStr">
        <is>
          <t>Kaustubh</t>
        </is>
      </c>
      <c r="E300" s="1" t="inlineStr">
        <is>
          <t>10</t>
        </is>
      </c>
      <c r="F300" s="1" t="inlineStr">
        <is>
          <t>India</t>
        </is>
      </c>
      <c r="G300" s="1" t="n"/>
      <c r="H300" s="1" t="inlineStr">
        <is>
          <t>No</t>
        </is>
      </c>
      <c r="I300" s="1" t="n"/>
      <c r="J300" s="1" t="n"/>
      <c r="K300" s="1" t="inlineStr">
        <is>
          <t>In stock</t>
        </is>
      </c>
      <c r="L300" s="3" t="n">
        <v>16</v>
      </c>
      <c r="M300" s="4" t="b">
        <v>0</v>
      </c>
      <c r="N300" s="3" t="n">
        <v>6</v>
      </c>
      <c r="O300" s="1" t="n"/>
      <c r="P300" s="1" t="n"/>
      <c r="Q300" s="1" t="n"/>
      <c r="R300" s="1" t="n"/>
      <c r="S300" s="1" t="inlineStr">
        <is>
          <t>Mobile (travels with robot)</t>
        </is>
      </c>
      <c r="T300" s="2" t="inlineStr">
        <is>
          <t>To Be ordered from McMaster if needed Lead time 1 day</t>
        </is>
      </c>
      <c r="U300" s="3" t="n">
        <v>285</v>
      </c>
      <c r="V300" s="1">
        <f>IF($K300="To be purchased",COUNTIF($K$2:$K300,"To be purchased"),"")</f>
        <v/>
      </c>
    </row>
    <row r="301">
      <c r="A301" s="1" t="inlineStr">
        <is>
          <t>Mechanical parts</t>
        </is>
      </c>
      <c r="B301" s="2" t="inlineStr">
        <is>
          <t>Bolt - Socket Cap (SHCS), M6 x 10 mm</t>
        </is>
      </c>
      <c r="C301" s="2" t="inlineStr">
        <is>
          <t>16-A Bolts - M6</t>
        </is>
      </c>
      <c r="D301" s="1" t="inlineStr">
        <is>
          <t>Kaustubh</t>
        </is>
      </c>
      <c r="E301" s="1" t="inlineStr">
        <is>
          <t>10</t>
        </is>
      </c>
      <c r="F301" s="1" t="inlineStr">
        <is>
          <t>India</t>
        </is>
      </c>
      <c r="G301" s="1" t="n"/>
      <c r="H301" s="1" t="inlineStr">
        <is>
          <t>No</t>
        </is>
      </c>
      <c r="I301" s="1" t="n"/>
      <c r="J301" s="1" t="n"/>
      <c r="K301" s="1" t="inlineStr">
        <is>
          <t>In stock</t>
        </is>
      </c>
      <c r="L301" s="3" t="n">
        <v>16</v>
      </c>
      <c r="M301" s="4" t="b">
        <v>0</v>
      </c>
      <c r="N301" s="3" t="n">
        <v>6</v>
      </c>
      <c r="O301" s="1" t="n"/>
      <c r="P301" s="1" t="n"/>
      <c r="Q301" s="1" t="n"/>
      <c r="R301" s="1" t="n"/>
      <c r="S301" s="1" t="inlineStr">
        <is>
          <t>Mobile (travels with robot)</t>
        </is>
      </c>
      <c r="T301" s="2" t="inlineStr">
        <is>
          <t>To Be ordered from McMaster if needed Lead time 1 day</t>
        </is>
      </c>
      <c r="U301" s="3" t="n">
        <v>286</v>
      </c>
      <c r="V301" s="1">
        <f>IF($K301="To be purchased",COUNTIF($K$2:$K301,"To be purchased"),"")</f>
        <v/>
      </c>
    </row>
    <row r="302">
      <c r="A302" s="1" t="inlineStr">
        <is>
          <t>Mechanical parts</t>
        </is>
      </c>
      <c r="B302" s="2" t="inlineStr">
        <is>
          <t>Bolt - Socket Cap (SHCS), M6 x 12 mm</t>
        </is>
      </c>
      <c r="C302" s="2" t="inlineStr">
        <is>
          <t>16-A Bolts - M6</t>
        </is>
      </c>
      <c r="D302" s="1" t="inlineStr">
        <is>
          <t>Kaustubh</t>
        </is>
      </c>
      <c r="E302" s="1" t="inlineStr">
        <is>
          <t>10</t>
        </is>
      </c>
      <c r="F302" s="1" t="inlineStr">
        <is>
          <t>India</t>
        </is>
      </c>
      <c r="G302" s="1" t="n"/>
      <c r="H302" s="1" t="inlineStr">
        <is>
          <t>No</t>
        </is>
      </c>
      <c r="I302" s="1" t="n"/>
      <c r="J302" s="1" t="n"/>
      <c r="K302" s="1" t="inlineStr">
        <is>
          <t>In stock</t>
        </is>
      </c>
      <c r="L302" s="3" t="n">
        <v>16</v>
      </c>
      <c r="M302" s="4" t="b">
        <v>0</v>
      </c>
      <c r="N302" s="3" t="n">
        <v>6</v>
      </c>
      <c r="O302" s="1" t="n"/>
      <c r="P302" s="1" t="n"/>
      <c r="Q302" s="1" t="n"/>
      <c r="R302" s="1" t="n"/>
      <c r="S302" s="1" t="inlineStr">
        <is>
          <t>Mobile (travels with robot)</t>
        </is>
      </c>
      <c r="T302" s="2" t="inlineStr">
        <is>
          <t>To Be ordered from McMaster if needed Lead time 1 day</t>
        </is>
      </c>
      <c r="U302" s="3" t="n">
        <v>287</v>
      </c>
      <c r="V302" s="1">
        <f>IF($K302="To be purchased",COUNTIF($K$2:$K302,"To be purchased"),"")</f>
        <v/>
      </c>
    </row>
    <row r="303">
      <c r="A303" s="1" t="inlineStr">
        <is>
          <t>Mechanical parts</t>
        </is>
      </c>
      <c r="B303" s="2" t="inlineStr">
        <is>
          <t>Bolt - Socket Cap (SHCS), M6 x 16 mm</t>
        </is>
      </c>
      <c r="C303" s="2" t="inlineStr">
        <is>
          <t>16-A Bolts - M6</t>
        </is>
      </c>
      <c r="D303" s="1" t="inlineStr">
        <is>
          <t>Kaustubh</t>
        </is>
      </c>
      <c r="E303" s="1" t="inlineStr">
        <is>
          <t>10</t>
        </is>
      </c>
      <c r="F303" s="1" t="inlineStr">
        <is>
          <t>India</t>
        </is>
      </c>
      <c r="G303" s="1" t="n"/>
      <c r="H303" s="1" t="inlineStr">
        <is>
          <t>No</t>
        </is>
      </c>
      <c r="I303" s="1" t="n"/>
      <c r="J303" s="1" t="n"/>
      <c r="K303" s="1" t="inlineStr">
        <is>
          <t>In stock</t>
        </is>
      </c>
      <c r="L303" s="3" t="n">
        <v>16</v>
      </c>
      <c r="M303" s="4" t="b">
        <v>0</v>
      </c>
      <c r="N303" s="3" t="n">
        <v>6</v>
      </c>
      <c r="O303" s="1" t="n"/>
      <c r="P303" s="1" t="n"/>
      <c r="Q303" s="1" t="n"/>
      <c r="R303" s="1" t="n"/>
      <c r="S303" s="1" t="inlineStr">
        <is>
          <t>Mobile (travels with robot)</t>
        </is>
      </c>
      <c r="T303" s="2" t="inlineStr">
        <is>
          <t>To Be ordered from McMaster if needed Lead time 1 day</t>
        </is>
      </c>
      <c r="U303" s="3" t="n">
        <v>288</v>
      </c>
      <c r="V303" s="1">
        <f>IF($K303="To be purchased",COUNTIF($K$2:$K303,"To be purchased"),"")</f>
        <v/>
      </c>
    </row>
    <row r="304">
      <c r="A304" s="1" t="inlineStr">
        <is>
          <t>Mechanical parts</t>
        </is>
      </c>
      <c r="B304" s="2" t="inlineStr">
        <is>
          <t>Bolt - Socket Cap (SHCS), M6 x 20 mm</t>
        </is>
      </c>
      <c r="C304" s="2" t="inlineStr">
        <is>
          <t>16-A Bolts - M6</t>
        </is>
      </c>
      <c r="D304" s="1" t="inlineStr">
        <is>
          <t>Kaustubh</t>
        </is>
      </c>
      <c r="E304" s="1" t="inlineStr">
        <is>
          <t>10</t>
        </is>
      </c>
      <c r="F304" s="1" t="inlineStr">
        <is>
          <t>India</t>
        </is>
      </c>
      <c r="G304" s="1" t="n"/>
      <c r="H304" s="1" t="inlineStr">
        <is>
          <t>No</t>
        </is>
      </c>
      <c r="I304" s="1" t="n"/>
      <c r="J304" s="1" t="n"/>
      <c r="K304" s="1" t="inlineStr">
        <is>
          <t>In stock</t>
        </is>
      </c>
      <c r="L304" s="3" t="n">
        <v>16</v>
      </c>
      <c r="M304" s="4" t="b">
        <v>0</v>
      </c>
      <c r="N304" s="3" t="n">
        <v>6</v>
      </c>
      <c r="O304" s="1" t="n"/>
      <c r="P304" s="1" t="n"/>
      <c r="Q304" s="1" t="n"/>
      <c r="R304" s="1" t="n"/>
      <c r="S304" s="1" t="inlineStr">
        <is>
          <t>Mobile (travels with robot)</t>
        </is>
      </c>
      <c r="T304" s="2" t="inlineStr">
        <is>
          <t>To Be ordered from McMaster if needed Lead time 1 day</t>
        </is>
      </c>
      <c r="U304" s="3" t="n">
        <v>289</v>
      </c>
      <c r="V304" s="1">
        <f>IF($K304="To be purchased",COUNTIF($K$2:$K304,"To be purchased"),"")</f>
        <v/>
      </c>
    </row>
    <row r="305">
      <c r="A305" s="1" t="inlineStr">
        <is>
          <t>Mechanical parts</t>
        </is>
      </c>
      <c r="B305" s="2" t="inlineStr">
        <is>
          <t>Bolt - Socket Cap (SHCS), M6 x 25 mm</t>
        </is>
      </c>
      <c r="C305" s="2" t="inlineStr">
        <is>
          <t>16-A Bolts - M6</t>
        </is>
      </c>
      <c r="D305" s="1" t="inlineStr">
        <is>
          <t>Kaustubh</t>
        </is>
      </c>
      <c r="E305" s="1" t="inlineStr">
        <is>
          <t>10</t>
        </is>
      </c>
      <c r="F305" s="1" t="inlineStr">
        <is>
          <t>India</t>
        </is>
      </c>
      <c r="G305" s="1" t="n"/>
      <c r="H305" s="1" t="inlineStr">
        <is>
          <t>No</t>
        </is>
      </c>
      <c r="I305" s="1" t="n"/>
      <c r="J305" s="1" t="n"/>
      <c r="K305" s="1" t="inlineStr">
        <is>
          <t>In stock</t>
        </is>
      </c>
      <c r="L305" s="3" t="n">
        <v>16</v>
      </c>
      <c r="M305" s="4" t="b">
        <v>0</v>
      </c>
      <c r="N305" s="3" t="n">
        <v>6</v>
      </c>
      <c r="O305" s="1" t="n"/>
      <c r="P305" s="1" t="n"/>
      <c r="Q305" s="1" t="n"/>
      <c r="R305" s="1" t="n"/>
      <c r="S305" s="1" t="inlineStr">
        <is>
          <t>Mobile (travels with robot)</t>
        </is>
      </c>
      <c r="T305" s="2" t="inlineStr">
        <is>
          <t>To Be ordered from McMaster if needed Lead time 1 day</t>
        </is>
      </c>
      <c r="U305" s="3" t="n">
        <v>290</v>
      </c>
      <c r="V305" s="1">
        <f>IF($K305="To be purchased",COUNTIF($K$2:$K305,"To be purchased"),"")</f>
        <v/>
      </c>
    </row>
    <row r="306">
      <c r="A306" s="1" t="inlineStr">
        <is>
          <t>Mechanical parts</t>
        </is>
      </c>
      <c r="B306" s="2" t="inlineStr">
        <is>
          <t>Bolt - Socket Cap (SHCS), M6 x 30 mm</t>
        </is>
      </c>
      <c r="C306" s="2" t="inlineStr">
        <is>
          <t>16-A Bolts - M6</t>
        </is>
      </c>
      <c r="D306" s="1" t="inlineStr">
        <is>
          <t>Kaustubh</t>
        </is>
      </c>
      <c r="E306" s="1" t="inlineStr">
        <is>
          <t>10</t>
        </is>
      </c>
      <c r="F306" s="1" t="inlineStr">
        <is>
          <t>India</t>
        </is>
      </c>
      <c r="G306" s="1" t="n"/>
      <c r="H306" s="1" t="inlineStr">
        <is>
          <t>No</t>
        </is>
      </c>
      <c r="I306" s="1" t="n"/>
      <c r="J306" s="1" t="n"/>
      <c r="K306" s="1" t="inlineStr">
        <is>
          <t>In stock</t>
        </is>
      </c>
      <c r="L306" s="3" t="n">
        <v>16</v>
      </c>
      <c r="M306" s="4" t="b">
        <v>0</v>
      </c>
      <c r="N306" s="3" t="n">
        <v>6</v>
      </c>
      <c r="O306" s="1" t="n"/>
      <c r="P306" s="1" t="n"/>
      <c r="Q306" s="1" t="n"/>
      <c r="R306" s="1" t="n"/>
      <c r="S306" s="1" t="inlineStr">
        <is>
          <t>Mobile (travels with robot)</t>
        </is>
      </c>
      <c r="T306" s="2" t="inlineStr">
        <is>
          <t>To Be ordered from McMaster if needed Lead time 1 day</t>
        </is>
      </c>
      <c r="U306" s="3" t="n">
        <v>291</v>
      </c>
      <c r="V306" s="1">
        <f>IF($K306="To be purchased",COUNTIF($K$2:$K306,"To be purchased"),"")</f>
        <v/>
      </c>
    </row>
    <row r="307">
      <c r="A307" s="1" t="inlineStr">
        <is>
          <t>Mechanical parts</t>
        </is>
      </c>
      <c r="B307" s="2" t="inlineStr">
        <is>
          <t>Bolt - Socket Cap (SHCS), M6 x 35 mm</t>
        </is>
      </c>
      <c r="C307" s="2" t="inlineStr">
        <is>
          <t>16-A Bolts - M6</t>
        </is>
      </c>
      <c r="D307" s="1" t="inlineStr">
        <is>
          <t>Kaustubh</t>
        </is>
      </c>
      <c r="E307" s="1" t="inlineStr">
        <is>
          <t>10</t>
        </is>
      </c>
      <c r="F307" s="1" t="inlineStr">
        <is>
          <t>India</t>
        </is>
      </c>
      <c r="G307" s="1" t="n"/>
      <c r="H307" s="1" t="inlineStr">
        <is>
          <t>No</t>
        </is>
      </c>
      <c r="I307" s="1" t="n"/>
      <c r="J307" s="1" t="n"/>
      <c r="K307" s="1" t="inlineStr">
        <is>
          <t>In stock</t>
        </is>
      </c>
      <c r="L307" s="3" t="n">
        <v>16</v>
      </c>
      <c r="M307" s="4" t="b">
        <v>0</v>
      </c>
      <c r="N307" s="3" t="n">
        <v>6</v>
      </c>
      <c r="O307" s="1" t="n"/>
      <c r="P307" s="1" t="n"/>
      <c r="Q307" s="1" t="n"/>
      <c r="R307" s="1" t="n"/>
      <c r="S307" s="1" t="inlineStr">
        <is>
          <t>Mobile (travels with robot)</t>
        </is>
      </c>
      <c r="T307" s="2" t="inlineStr">
        <is>
          <t>To Be ordered from McMaster if needed Lead time 1 day</t>
        </is>
      </c>
      <c r="U307" s="3" t="n">
        <v>292</v>
      </c>
      <c r="V307" s="1">
        <f>IF($K307="To be purchased",COUNTIF($K$2:$K307,"To be purchased"),"")</f>
        <v/>
      </c>
    </row>
    <row r="308">
      <c r="A308" s="1" t="inlineStr">
        <is>
          <t>Mechanical parts</t>
        </is>
      </c>
      <c r="B308" s="2" t="inlineStr">
        <is>
          <t>Bolt - Socket Cap (SHCS), M6 x 40 mm</t>
        </is>
      </c>
      <c r="C308" s="2" t="inlineStr">
        <is>
          <t>16-A Bolts - M6</t>
        </is>
      </c>
      <c r="D308" s="1" t="inlineStr">
        <is>
          <t>Kaustubh</t>
        </is>
      </c>
      <c r="E308" s="1" t="inlineStr">
        <is>
          <t>10</t>
        </is>
      </c>
      <c r="F308" s="1" t="inlineStr">
        <is>
          <t>India</t>
        </is>
      </c>
      <c r="G308" s="1" t="n"/>
      <c r="H308" s="1" t="inlineStr">
        <is>
          <t>No</t>
        </is>
      </c>
      <c r="I308" s="1" t="n"/>
      <c r="J308" s="1" t="n"/>
      <c r="K308" s="1" t="inlineStr">
        <is>
          <t>In stock</t>
        </is>
      </c>
      <c r="L308" s="3" t="n">
        <v>16</v>
      </c>
      <c r="M308" s="4" t="b">
        <v>0</v>
      </c>
      <c r="N308" s="3" t="n">
        <v>6</v>
      </c>
      <c r="O308" s="1" t="n"/>
      <c r="P308" s="1" t="n"/>
      <c r="Q308" s="1" t="n"/>
      <c r="R308" s="1" t="n"/>
      <c r="S308" s="1" t="inlineStr">
        <is>
          <t>Mobile (travels with robot)</t>
        </is>
      </c>
      <c r="T308" s="2" t="inlineStr">
        <is>
          <t>To Be ordered from McMaster if needed Lead time 1 day</t>
        </is>
      </c>
      <c r="U308" s="3" t="n">
        <v>293</v>
      </c>
      <c r="V308" s="1">
        <f>IF($K308="To be purchased",COUNTIF($K$2:$K308,"To be purchased"),"")</f>
        <v/>
      </c>
    </row>
    <row r="309">
      <c r="A309" s="1" t="inlineStr">
        <is>
          <t>Mechanical parts</t>
        </is>
      </c>
      <c r="B309" s="2" t="inlineStr">
        <is>
          <t>Bolt - Socket Cap (SHCS), M6 x 50 mm</t>
        </is>
      </c>
      <c r="C309" s="2" t="inlineStr">
        <is>
          <t>16-A Bolts - M6</t>
        </is>
      </c>
      <c r="D309" s="1" t="inlineStr">
        <is>
          <t>Kaustubh</t>
        </is>
      </c>
      <c r="E309" s="1" t="inlineStr">
        <is>
          <t>10</t>
        </is>
      </c>
      <c r="F309" s="1" t="inlineStr">
        <is>
          <t>India</t>
        </is>
      </c>
      <c r="G309" s="1" t="n"/>
      <c r="H309" s="1" t="inlineStr">
        <is>
          <t>No</t>
        </is>
      </c>
      <c r="I309" s="1" t="n"/>
      <c r="J309" s="1" t="n"/>
      <c r="K309" s="1" t="inlineStr">
        <is>
          <t>In stock</t>
        </is>
      </c>
      <c r="L309" s="3" t="n">
        <v>16</v>
      </c>
      <c r="M309" s="4" t="b">
        <v>0</v>
      </c>
      <c r="N309" s="3" t="n">
        <v>6</v>
      </c>
      <c r="O309" s="1" t="n"/>
      <c r="P309" s="1" t="n"/>
      <c r="Q309" s="1" t="n"/>
      <c r="R309" s="1" t="n"/>
      <c r="S309" s="1" t="inlineStr">
        <is>
          <t>Mobile (travels with robot)</t>
        </is>
      </c>
      <c r="T309" s="2" t="inlineStr">
        <is>
          <t>To Be ordered from McMaster if needed Lead time 1 day</t>
        </is>
      </c>
      <c r="U309" s="3" t="n">
        <v>294</v>
      </c>
      <c r="V309" s="1">
        <f>IF($K309="To be purchased",COUNTIF($K$2:$K309,"To be purchased"),"")</f>
        <v/>
      </c>
    </row>
    <row r="310">
      <c r="A310" s="1" t="inlineStr">
        <is>
          <t>Mechanical parts</t>
        </is>
      </c>
      <c r="B310" s="2" t="inlineStr">
        <is>
          <t>Bolt - Countersunk (CSK), M6 x 12 mm</t>
        </is>
      </c>
      <c r="C310" s="2" t="inlineStr">
        <is>
          <t>16-A Bolts - M6</t>
        </is>
      </c>
      <c r="D310" s="1" t="inlineStr">
        <is>
          <t>Kaustubh</t>
        </is>
      </c>
      <c r="E310" s="1" t="inlineStr">
        <is>
          <t>10</t>
        </is>
      </c>
      <c r="F310" s="1" t="inlineStr">
        <is>
          <t>India</t>
        </is>
      </c>
      <c r="G310" s="1" t="n"/>
      <c r="H310" s="1" t="inlineStr">
        <is>
          <t>No</t>
        </is>
      </c>
      <c r="I310" s="1" t="n"/>
      <c r="J310" s="1" t="n"/>
      <c r="K310" s="1" t="inlineStr">
        <is>
          <t>In stock</t>
        </is>
      </c>
      <c r="L310" s="3" t="n">
        <v>16</v>
      </c>
      <c r="M310" s="4" t="b">
        <v>0</v>
      </c>
      <c r="N310" s="3" t="n">
        <v>6</v>
      </c>
      <c r="O310" s="1" t="n"/>
      <c r="P310" s="1" t="n"/>
      <c r="Q310" s="1" t="n"/>
      <c r="R310" s="1" t="n"/>
      <c r="S310" s="1" t="inlineStr">
        <is>
          <t>Mobile (travels with robot)</t>
        </is>
      </c>
      <c r="T310" s="2" t="inlineStr">
        <is>
          <t>To Be ordered from McMaster if needed Lead time 1 day</t>
        </is>
      </c>
      <c r="U310" s="3" t="n">
        <v>296</v>
      </c>
      <c r="V310" s="1">
        <f>IF($K310="To be purchased",COUNTIF($K$2:$K310,"To be purchased"),"")</f>
        <v/>
      </c>
    </row>
    <row r="311">
      <c r="A311" s="1" t="inlineStr">
        <is>
          <t>Mechanical parts</t>
        </is>
      </c>
      <c r="B311" s="2" t="inlineStr">
        <is>
          <t>Bolt - Countersunk (CSK), M6 x 16 mm</t>
        </is>
      </c>
      <c r="C311" s="2" t="inlineStr">
        <is>
          <t>16-A Bolts - M6</t>
        </is>
      </c>
      <c r="D311" s="1" t="inlineStr">
        <is>
          <t>Kaustubh</t>
        </is>
      </c>
      <c r="E311" s="1" t="inlineStr">
        <is>
          <t>10</t>
        </is>
      </c>
      <c r="F311" s="1" t="inlineStr">
        <is>
          <t>India</t>
        </is>
      </c>
      <c r="G311" s="1" t="n"/>
      <c r="H311" s="1" t="inlineStr">
        <is>
          <t>No</t>
        </is>
      </c>
      <c r="I311" s="1" t="n"/>
      <c r="J311" s="1" t="n"/>
      <c r="K311" s="1" t="inlineStr">
        <is>
          <t>In stock</t>
        </is>
      </c>
      <c r="L311" s="3" t="n">
        <v>16</v>
      </c>
      <c r="M311" s="4" t="b">
        <v>0</v>
      </c>
      <c r="N311" s="3" t="n">
        <v>6</v>
      </c>
      <c r="O311" s="1" t="n"/>
      <c r="P311" s="1" t="n"/>
      <c r="Q311" s="1" t="n"/>
      <c r="R311" s="1" t="n"/>
      <c r="S311" s="1" t="inlineStr">
        <is>
          <t>Mobile (travels with robot)</t>
        </is>
      </c>
      <c r="T311" s="2" t="inlineStr">
        <is>
          <t>To Be ordered from McMaster if needed Lead time 1 day</t>
        </is>
      </c>
      <c r="U311" s="3" t="n">
        <v>297</v>
      </c>
      <c r="V311" s="1">
        <f>IF($K311="To be purchased",COUNTIF($K$2:$K311,"To be purchased"),"")</f>
        <v/>
      </c>
    </row>
    <row r="312">
      <c r="A312" s="1" t="inlineStr">
        <is>
          <t>Mechanical parts</t>
        </is>
      </c>
      <c r="B312" s="2" t="inlineStr">
        <is>
          <t>Bolt - Socket Cap (SHCS), M8 x 12 mm</t>
        </is>
      </c>
      <c r="C312" s="2" t="inlineStr">
        <is>
          <t>16-A Bolts - M8</t>
        </is>
      </c>
      <c r="D312" s="1" t="inlineStr">
        <is>
          <t>Kaustubh</t>
        </is>
      </c>
      <c r="E312" s="1" t="inlineStr">
        <is>
          <t>10</t>
        </is>
      </c>
      <c r="F312" s="1" t="inlineStr">
        <is>
          <t>India</t>
        </is>
      </c>
      <c r="G312" s="1" t="n"/>
      <c r="H312" s="1" t="inlineStr">
        <is>
          <t>No</t>
        </is>
      </c>
      <c r="I312" s="1" t="n"/>
      <c r="J312" s="1" t="n"/>
      <c r="K312" s="1" t="inlineStr">
        <is>
          <t>In stock</t>
        </is>
      </c>
      <c r="L312" s="3" t="n">
        <v>16</v>
      </c>
      <c r="M312" s="4" t="b">
        <v>0</v>
      </c>
      <c r="N312" s="3" t="n">
        <v>6</v>
      </c>
      <c r="O312" s="1" t="n"/>
      <c r="P312" s="1" t="n"/>
      <c r="Q312" s="1" t="n"/>
      <c r="R312" s="1" t="n"/>
      <c r="S312" s="1" t="inlineStr">
        <is>
          <t>Mobile (travels with robot)</t>
        </is>
      </c>
      <c r="T312" s="2" t="inlineStr">
        <is>
          <t>To Be ordered from McMaster if needed Lead time 1 day</t>
        </is>
      </c>
      <c r="U312" s="3" t="n">
        <v>298</v>
      </c>
      <c r="V312" s="1">
        <f>IF($K312="To be purchased",COUNTIF($K$2:$K312,"To be purchased"),"")</f>
        <v/>
      </c>
    </row>
    <row r="313">
      <c r="A313" s="1" t="inlineStr">
        <is>
          <t>Mechanical parts</t>
        </is>
      </c>
      <c r="B313" s="2" t="inlineStr">
        <is>
          <t>Bolt - Socket Cap (SHCS), M8 x 16 mm</t>
        </is>
      </c>
      <c r="C313" s="2" t="inlineStr">
        <is>
          <t>16-A Bolts - M8</t>
        </is>
      </c>
      <c r="D313" s="1" t="inlineStr">
        <is>
          <t>Kaustubh</t>
        </is>
      </c>
      <c r="E313" s="1" t="inlineStr">
        <is>
          <t>10</t>
        </is>
      </c>
      <c r="F313" s="1" t="inlineStr">
        <is>
          <t>India</t>
        </is>
      </c>
      <c r="G313" s="1" t="n"/>
      <c r="H313" s="1" t="inlineStr">
        <is>
          <t>No</t>
        </is>
      </c>
      <c r="I313" s="1" t="n"/>
      <c r="J313" s="1" t="n"/>
      <c r="K313" s="1" t="inlineStr">
        <is>
          <t>In stock</t>
        </is>
      </c>
      <c r="L313" s="3" t="n">
        <v>16</v>
      </c>
      <c r="M313" s="4" t="b">
        <v>0</v>
      </c>
      <c r="N313" s="3" t="n">
        <v>6</v>
      </c>
      <c r="O313" s="1" t="n"/>
      <c r="P313" s="1" t="n"/>
      <c r="Q313" s="1" t="n"/>
      <c r="R313" s="1" t="n"/>
      <c r="S313" s="1" t="inlineStr">
        <is>
          <t>Mobile (travels with robot)</t>
        </is>
      </c>
      <c r="T313" s="2" t="inlineStr">
        <is>
          <t>To Be ordered from McMaster if needed Lead time 1 day</t>
        </is>
      </c>
      <c r="U313" s="3" t="n">
        <v>299</v>
      </c>
      <c r="V313" s="1">
        <f>IF($K313="To be purchased",COUNTIF($K$2:$K313,"To be purchased"),"")</f>
        <v/>
      </c>
    </row>
    <row r="314">
      <c r="A314" s="1" t="inlineStr">
        <is>
          <t>Mechanical parts</t>
        </is>
      </c>
      <c r="B314" s="2" t="inlineStr">
        <is>
          <t>Bolt - Socket Cap (SHCS), M8 x 20 mm</t>
        </is>
      </c>
      <c r="C314" s="2" t="inlineStr">
        <is>
          <t>16-A Bolts - M8</t>
        </is>
      </c>
      <c r="D314" s="1" t="inlineStr">
        <is>
          <t>Kaustubh</t>
        </is>
      </c>
      <c r="E314" s="1" t="inlineStr">
        <is>
          <t>10</t>
        </is>
      </c>
      <c r="F314" s="1" t="inlineStr">
        <is>
          <t>India</t>
        </is>
      </c>
      <c r="G314" s="1" t="n"/>
      <c r="H314" s="1" t="inlineStr">
        <is>
          <t>No</t>
        </is>
      </c>
      <c r="I314" s="1" t="n"/>
      <c r="J314" s="1" t="n"/>
      <c r="K314" s="1" t="inlineStr">
        <is>
          <t>In stock</t>
        </is>
      </c>
      <c r="L314" s="3" t="n">
        <v>16</v>
      </c>
      <c r="M314" s="4" t="b">
        <v>0</v>
      </c>
      <c r="N314" s="3" t="n">
        <v>6</v>
      </c>
      <c r="O314" s="1" t="n"/>
      <c r="P314" s="1" t="n"/>
      <c r="Q314" s="1" t="n"/>
      <c r="R314" s="1" t="n"/>
      <c r="S314" s="1" t="inlineStr">
        <is>
          <t>Mobile (travels with robot)</t>
        </is>
      </c>
      <c r="T314" s="2" t="inlineStr">
        <is>
          <t>To Be ordered from McMaster if needed Lead time 1 day</t>
        </is>
      </c>
      <c r="U314" s="3" t="n">
        <v>300</v>
      </c>
      <c r="V314" s="1">
        <f>IF($K314="To be purchased",COUNTIF($K$2:$K314,"To be purchased"),"")</f>
        <v/>
      </c>
    </row>
    <row r="315">
      <c r="A315" s="1" t="inlineStr">
        <is>
          <t>Mechanical parts</t>
        </is>
      </c>
      <c r="B315" s="2" t="inlineStr">
        <is>
          <t>Bolt - Socket Cap (SHCS), M8 x 25 mm</t>
        </is>
      </c>
      <c r="C315" s="2" t="inlineStr">
        <is>
          <t>16-A Bolts - M8</t>
        </is>
      </c>
      <c r="D315" s="1" t="inlineStr">
        <is>
          <t>Kaustubh</t>
        </is>
      </c>
      <c r="E315" s="1" t="inlineStr">
        <is>
          <t>10</t>
        </is>
      </c>
      <c r="F315" s="1" t="inlineStr">
        <is>
          <t>India</t>
        </is>
      </c>
      <c r="G315" s="1" t="n"/>
      <c r="H315" s="1" t="inlineStr">
        <is>
          <t>No</t>
        </is>
      </c>
      <c r="I315" s="1" t="n"/>
      <c r="J315" s="1" t="n"/>
      <c r="K315" s="1" t="inlineStr">
        <is>
          <t>In stock</t>
        </is>
      </c>
      <c r="L315" s="3" t="n">
        <v>16</v>
      </c>
      <c r="M315" s="4" t="b">
        <v>0</v>
      </c>
      <c r="N315" s="3" t="n">
        <v>6</v>
      </c>
      <c r="O315" s="1" t="n"/>
      <c r="P315" s="1" t="n"/>
      <c r="Q315" s="1" t="n"/>
      <c r="R315" s="1" t="n"/>
      <c r="S315" s="1" t="inlineStr">
        <is>
          <t>Mobile (travels with robot)</t>
        </is>
      </c>
      <c r="T315" s="2" t="inlineStr">
        <is>
          <t>To Be ordered from McMaster if needed Lead time 1 day</t>
        </is>
      </c>
      <c r="U315" s="3" t="n">
        <v>301</v>
      </c>
      <c r="V315" s="1">
        <f>IF($K315="To be purchased",COUNTIF($K$2:$K315,"To be purchased"),"")</f>
        <v/>
      </c>
    </row>
    <row r="316">
      <c r="A316" s="1" t="inlineStr">
        <is>
          <t>Mechanical parts</t>
        </is>
      </c>
      <c r="B316" s="2" t="inlineStr">
        <is>
          <t>Bolt - Socket Cap (SHCS), M8 x 30 mm</t>
        </is>
      </c>
      <c r="C316" s="2" t="inlineStr">
        <is>
          <t>16-A Bolts - M8</t>
        </is>
      </c>
      <c r="D316" s="1" t="inlineStr">
        <is>
          <t>Kaustubh</t>
        </is>
      </c>
      <c r="E316" s="1" t="inlineStr">
        <is>
          <t>10</t>
        </is>
      </c>
      <c r="F316" s="1" t="inlineStr">
        <is>
          <t>India</t>
        </is>
      </c>
      <c r="G316" s="1" t="n"/>
      <c r="H316" s="1" t="inlineStr">
        <is>
          <t>No</t>
        </is>
      </c>
      <c r="I316" s="1" t="n"/>
      <c r="J316" s="1" t="n"/>
      <c r="K316" s="1" t="inlineStr">
        <is>
          <t>In stock</t>
        </is>
      </c>
      <c r="L316" s="3" t="n">
        <v>16</v>
      </c>
      <c r="M316" s="4" t="b">
        <v>0</v>
      </c>
      <c r="N316" s="3" t="n">
        <v>6</v>
      </c>
      <c r="O316" s="1" t="n"/>
      <c r="P316" s="1" t="n"/>
      <c r="Q316" s="1" t="n"/>
      <c r="R316" s="1" t="n"/>
      <c r="S316" s="1" t="inlineStr">
        <is>
          <t>Mobile (travels with robot)</t>
        </is>
      </c>
      <c r="T316" s="2" t="inlineStr">
        <is>
          <t>To Be ordered from McMaster if needed Lead time 1 day</t>
        </is>
      </c>
      <c r="U316" s="3" t="n">
        <v>302</v>
      </c>
      <c r="V316" s="1">
        <f>IF($K316="To be purchased",COUNTIF($K$2:$K316,"To be purchased"),"")</f>
        <v/>
      </c>
    </row>
    <row r="317">
      <c r="A317" s="1" t="inlineStr">
        <is>
          <t>Mechanical parts</t>
        </is>
      </c>
      <c r="B317" s="2" t="inlineStr">
        <is>
          <t>Bolt - Socket Cap (SHCS), M8 x 35 mm</t>
        </is>
      </c>
      <c r="C317" s="2" t="inlineStr">
        <is>
          <t>16-A Bolts - M8</t>
        </is>
      </c>
      <c r="D317" s="1" t="inlineStr">
        <is>
          <t>Kaustubh</t>
        </is>
      </c>
      <c r="E317" s="1" t="inlineStr">
        <is>
          <t>10</t>
        </is>
      </c>
      <c r="F317" s="1" t="inlineStr">
        <is>
          <t>India</t>
        </is>
      </c>
      <c r="G317" s="1" t="n"/>
      <c r="H317" s="1" t="inlineStr">
        <is>
          <t>No</t>
        </is>
      </c>
      <c r="I317" s="1" t="n"/>
      <c r="J317" s="1" t="n"/>
      <c r="K317" s="1" t="inlineStr">
        <is>
          <t>In stock</t>
        </is>
      </c>
      <c r="L317" s="3" t="n">
        <v>16</v>
      </c>
      <c r="M317" s="4" t="b">
        <v>0</v>
      </c>
      <c r="N317" s="3" t="n">
        <v>6</v>
      </c>
      <c r="O317" s="1" t="n"/>
      <c r="P317" s="1" t="n"/>
      <c r="Q317" s="1" t="n"/>
      <c r="R317" s="1" t="n"/>
      <c r="S317" s="1" t="inlineStr">
        <is>
          <t>Mobile (travels with robot)</t>
        </is>
      </c>
      <c r="T317" s="2" t="inlineStr">
        <is>
          <t>To Be ordered from McMaster if needed Lead time 1 day</t>
        </is>
      </c>
      <c r="U317" s="3" t="n">
        <v>303</v>
      </c>
      <c r="V317" s="1">
        <f>IF($K317="To be purchased",COUNTIF($K$2:$K317,"To be purchased"),"")</f>
        <v/>
      </c>
    </row>
    <row r="318">
      <c r="A318" s="1" t="inlineStr">
        <is>
          <t>Mechanical parts</t>
        </is>
      </c>
      <c r="B318" s="2" t="inlineStr">
        <is>
          <t>Bolt - Socket Cap (SHCS), M8 x 40 mm</t>
        </is>
      </c>
      <c r="C318" s="2" t="inlineStr">
        <is>
          <t>16-A Bolts - M8</t>
        </is>
      </c>
      <c r="D318" s="1" t="inlineStr">
        <is>
          <t>Kaustubh</t>
        </is>
      </c>
      <c r="E318" s="1" t="inlineStr">
        <is>
          <t>10</t>
        </is>
      </c>
      <c r="F318" s="1" t="inlineStr">
        <is>
          <t>India</t>
        </is>
      </c>
      <c r="G318" s="1" t="n"/>
      <c r="H318" s="1" t="inlineStr">
        <is>
          <t>No</t>
        </is>
      </c>
      <c r="I318" s="1" t="n"/>
      <c r="J318" s="1" t="n"/>
      <c r="K318" s="1" t="inlineStr">
        <is>
          <t>In stock</t>
        </is>
      </c>
      <c r="L318" s="3" t="n">
        <v>16</v>
      </c>
      <c r="M318" s="4" t="b">
        <v>0</v>
      </c>
      <c r="N318" s="3" t="n">
        <v>6</v>
      </c>
      <c r="O318" s="1" t="n"/>
      <c r="P318" s="1" t="n"/>
      <c r="Q318" s="1" t="n"/>
      <c r="R318" s="1" t="n"/>
      <c r="S318" s="1" t="inlineStr">
        <is>
          <t>Mobile (travels with robot)</t>
        </is>
      </c>
      <c r="T318" s="2" t="inlineStr">
        <is>
          <t>To Be ordered from McMaster if needed Lead time 1 day</t>
        </is>
      </c>
      <c r="U318" s="3" t="n">
        <v>304</v>
      </c>
      <c r="V318" s="1">
        <f>IF($K318="To be purchased",COUNTIF($K$2:$K318,"To be purchased"),"")</f>
        <v/>
      </c>
    </row>
    <row r="319">
      <c r="A319" s="1" t="inlineStr">
        <is>
          <t>Mechanical parts</t>
        </is>
      </c>
      <c r="B319" s="2" t="inlineStr">
        <is>
          <t>Bolt - Socket Cap (SHCS), M8 x 50 mm</t>
        </is>
      </c>
      <c r="C319" s="2" t="inlineStr">
        <is>
          <t>16-A Bolts - M8</t>
        </is>
      </c>
      <c r="D319" s="1" t="inlineStr">
        <is>
          <t>Kaustubh</t>
        </is>
      </c>
      <c r="E319" s="1" t="inlineStr">
        <is>
          <t>10</t>
        </is>
      </c>
      <c r="F319" s="1" t="inlineStr">
        <is>
          <t>India</t>
        </is>
      </c>
      <c r="G319" s="1" t="n"/>
      <c r="H319" s="1" t="inlineStr">
        <is>
          <t>No</t>
        </is>
      </c>
      <c r="I319" s="1" t="n"/>
      <c r="J319" s="1" t="n"/>
      <c r="K319" s="1" t="inlineStr">
        <is>
          <t>In stock</t>
        </is>
      </c>
      <c r="L319" s="3" t="n">
        <v>16</v>
      </c>
      <c r="M319" s="4" t="b">
        <v>0</v>
      </c>
      <c r="N319" s="3" t="n">
        <v>6</v>
      </c>
      <c r="O319" s="1" t="n"/>
      <c r="P319" s="1" t="n"/>
      <c r="Q319" s="1" t="n"/>
      <c r="R319" s="1" t="n"/>
      <c r="S319" s="1" t="inlineStr">
        <is>
          <t>Mobile (travels with robot)</t>
        </is>
      </c>
      <c r="T319" s="2" t="inlineStr">
        <is>
          <t>To Be ordered from McMaster if needed Lead time 1 day</t>
        </is>
      </c>
      <c r="U319" s="3" t="n">
        <v>305</v>
      </c>
      <c r="V319" s="1">
        <f>IF($K319="To be purchased",COUNTIF($K$2:$K319,"To be purchased"),"")</f>
        <v/>
      </c>
    </row>
    <row r="320">
      <c r="A320" s="1" t="inlineStr">
        <is>
          <t>Mechanical parts</t>
        </is>
      </c>
      <c r="B320" s="2" t="inlineStr">
        <is>
          <t>Bolt - Socket Cap (SHCS), M8 x 60 mm</t>
        </is>
      </c>
      <c r="C320" s="2" t="inlineStr">
        <is>
          <t>16-A Bolts - M8</t>
        </is>
      </c>
      <c r="D320" s="1" t="inlineStr">
        <is>
          <t>Kaustubh</t>
        </is>
      </c>
      <c r="E320" s="1" t="inlineStr">
        <is>
          <t>10</t>
        </is>
      </c>
      <c r="F320" s="1" t="inlineStr">
        <is>
          <t>India</t>
        </is>
      </c>
      <c r="G320" s="1" t="n"/>
      <c r="H320" s="1" t="inlineStr">
        <is>
          <t>No</t>
        </is>
      </c>
      <c r="I320" s="1" t="n"/>
      <c r="J320" s="1" t="n"/>
      <c r="K320" s="1" t="inlineStr">
        <is>
          <t>In stock</t>
        </is>
      </c>
      <c r="L320" s="3" t="n">
        <v>16</v>
      </c>
      <c r="M320" s="4" t="b">
        <v>0</v>
      </c>
      <c r="N320" s="3" t="n">
        <v>6</v>
      </c>
      <c r="O320" s="1" t="n"/>
      <c r="P320" s="1" t="n"/>
      <c r="Q320" s="1" t="n"/>
      <c r="R320" s="1" t="n"/>
      <c r="S320" s="1" t="inlineStr">
        <is>
          <t>Mobile (travels with robot)</t>
        </is>
      </c>
      <c r="T320" s="2" t="inlineStr">
        <is>
          <t>To Be ordered from McMaster if needed Lead time 1 day</t>
        </is>
      </c>
      <c r="U320" s="3" t="n">
        <v>306</v>
      </c>
      <c r="V320" s="1">
        <f>IF($K320="To be purchased",COUNTIF($K$2:$K320,"To be purchased"),"")</f>
        <v/>
      </c>
    </row>
    <row r="321">
      <c r="A321" s="1" t="inlineStr">
        <is>
          <t>Mechanical parts</t>
        </is>
      </c>
      <c r="B321" s="2" t="inlineStr">
        <is>
          <t>Bolt - Socket Cap (SHCS), M8 x 70 mm</t>
        </is>
      </c>
      <c r="C321" s="2" t="inlineStr">
        <is>
          <t>16-A Bolts - M8</t>
        </is>
      </c>
      <c r="D321" s="1" t="inlineStr">
        <is>
          <t>Kaustubh</t>
        </is>
      </c>
      <c r="E321" s="1" t="inlineStr">
        <is>
          <t>10</t>
        </is>
      </c>
      <c r="F321" s="1" t="inlineStr">
        <is>
          <t>India</t>
        </is>
      </c>
      <c r="G321" s="1" t="n"/>
      <c r="H321" s="1" t="inlineStr">
        <is>
          <t>No</t>
        </is>
      </c>
      <c r="I321" s="1" t="n"/>
      <c r="J321" s="1" t="n"/>
      <c r="K321" s="1" t="inlineStr">
        <is>
          <t>In stock</t>
        </is>
      </c>
      <c r="L321" s="3" t="n">
        <v>16</v>
      </c>
      <c r="M321" s="4" t="b">
        <v>0</v>
      </c>
      <c r="N321" s="3" t="n">
        <v>6</v>
      </c>
      <c r="O321" s="1" t="n"/>
      <c r="P321" s="1" t="n"/>
      <c r="Q321" s="1" t="n"/>
      <c r="R321" s="1" t="n"/>
      <c r="S321" s="1" t="inlineStr">
        <is>
          <t>Mobile (travels with robot)</t>
        </is>
      </c>
      <c r="T321" s="2" t="inlineStr">
        <is>
          <t>To Be ordered from McMaster if needed Lead time 1 day</t>
        </is>
      </c>
      <c r="U321" s="3" t="n">
        <v>307</v>
      </c>
      <c r="V321" s="1">
        <f>IF($K321="To be purchased",COUNTIF($K$2:$K321,"To be purchased"),"")</f>
        <v/>
      </c>
    </row>
    <row r="322">
      <c r="A322" s="1" t="inlineStr">
        <is>
          <t>Mechanical parts</t>
        </is>
      </c>
      <c r="B322" s="2" t="inlineStr">
        <is>
          <t>Bolt - Socket Cap (SHCS), M8 x 80 mm</t>
        </is>
      </c>
      <c r="C322" s="2" t="inlineStr">
        <is>
          <t>16-A Bolts - M8</t>
        </is>
      </c>
      <c r="D322" s="1" t="inlineStr">
        <is>
          <t>Kaustubh</t>
        </is>
      </c>
      <c r="E322" s="1" t="inlineStr">
        <is>
          <t>10</t>
        </is>
      </c>
      <c r="F322" s="1" t="inlineStr">
        <is>
          <t>India</t>
        </is>
      </c>
      <c r="G322" s="1" t="n"/>
      <c r="H322" s="1" t="inlineStr">
        <is>
          <t>No</t>
        </is>
      </c>
      <c r="I322" s="1" t="n"/>
      <c r="J322" s="1" t="n"/>
      <c r="K322" s="1" t="inlineStr">
        <is>
          <t>In stock</t>
        </is>
      </c>
      <c r="L322" s="3" t="n">
        <v>16</v>
      </c>
      <c r="M322" s="4" t="b">
        <v>0</v>
      </c>
      <c r="N322" s="3" t="n">
        <v>6</v>
      </c>
      <c r="O322" s="1" t="n"/>
      <c r="P322" s="1" t="n"/>
      <c r="Q322" s="1" t="n"/>
      <c r="R322" s="1" t="n"/>
      <c r="S322" s="1" t="inlineStr">
        <is>
          <t>Mobile (travels with robot)</t>
        </is>
      </c>
      <c r="T322" s="2" t="inlineStr">
        <is>
          <t>To Be ordered from McMaster if needed Lead time 1 day</t>
        </is>
      </c>
      <c r="U322" s="3" t="n">
        <v>308</v>
      </c>
      <c r="V322" s="1">
        <f>IF($K322="To be purchased",COUNTIF($K$2:$K322,"To be purchased"),"")</f>
        <v/>
      </c>
    </row>
    <row r="323">
      <c r="A323" s="1" t="inlineStr">
        <is>
          <t>Mechanical parts</t>
        </is>
      </c>
      <c r="B323" s="2" t="inlineStr">
        <is>
          <t>Bolt - Countersunk (CSK), M8 x 12 mm</t>
        </is>
      </c>
      <c r="C323" s="2" t="inlineStr">
        <is>
          <t>16-A Bolts - M8</t>
        </is>
      </c>
      <c r="D323" s="1" t="inlineStr">
        <is>
          <t>Kaustubh</t>
        </is>
      </c>
      <c r="E323" s="1" t="inlineStr">
        <is>
          <t>10</t>
        </is>
      </c>
      <c r="F323" s="1" t="inlineStr">
        <is>
          <t>India</t>
        </is>
      </c>
      <c r="G323" s="1" t="n"/>
      <c r="H323" s="1" t="inlineStr">
        <is>
          <t>No</t>
        </is>
      </c>
      <c r="I323" s="1" t="n"/>
      <c r="J323" s="1" t="n"/>
      <c r="K323" s="1" t="inlineStr">
        <is>
          <t>In stock</t>
        </is>
      </c>
      <c r="L323" s="3" t="n">
        <v>16</v>
      </c>
      <c r="M323" s="4" t="b">
        <v>0</v>
      </c>
      <c r="N323" s="3" t="n">
        <v>6</v>
      </c>
      <c r="O323" s="1" t="n"/>
      <c r="P323" s="1" t="n"/>
      <c r="Q323" s="1" t="n"/>
      <c r="R323" s="1" t="n"/>
      <c r="S323" s="1" t="inlineStr">
        <is>
          <t>Mobile (travels with robot)</t>
        </is>
      </c>
      <c r="T323" s="2" t="inlineStr">
        <is>
          <t>To Be ordered from McMaster if needed Lead time 1 day</t>
        </is>
      </c>
      <c r="U323" s="3" t="n">
        <v>309</v>
      </c>
      <c r="V323" s="1">
        <f>IF($K323="To be purchased",COUNTIF($K$2:$K323,"To be purchased"),"")</f>
        <v/>
      </c>
    </row>
    <row r="324">
      <c r="A324" s="1" t="inlineStr">
        <is>
          <t>Mechanical parts</t>
        </is>
      </c>
      <c r="B324" s="2" t="inlineStr">
        <is>
          <t>Bolt - Countersunk (CSK), M8 x 16 mm</t>
        </is>
      </c>
      <c r="C324" s="2" t="inlineStr">
        <is>
          <t>16-A Bolts - M8</t>
        </is>
      </c>
      <c r="D324" s="1" t="inlineStr">
        <is>
          <t>Kaustubh</t>
        </is>
      </c>
      <c r="E324" s="1" t="inlineStr">
        <is>
          <t>10</t>
        </is>
      </c>
      <c r="F324" s="1" t="inlineStr">
        <is>
          <t>India</t>
        </is>
      </c>
      <c r="G324" s="1" t="n"/>
      <c r="H324" s="1" t="inlineStr">
        <is>
          <t>No</t>
        </is>
      </c>
      <c r="I324" s="1" t="n"/>
      <c r="J324" s="1" t="n"/>
      <c r="K324" s="1" t="inlineStr">
        <is>
          <t>In stock</t>
        </is>
      </c>
      <c r="L324" s="3" t="n">
        <v>16</v>
      </c>
      <c r="M324" s="4" t="b">
        <v>0</v>
      </c>
      <c r="N324" s="3" t="n">
        <v>6</v>
      </c>
      <c r="O324" s="1" t="n"/>
      <c r="P324" s="1" t="n"/>
      <c r="Q324" s="1" t="n"/>
      <c r="R324" s="1" t="n"/>
      <c r="S324" s="1" t="inlineStr">
        <is>
          <t>Mobile (travels with robot)</t>
        </is>
      </c>
      <c r="T324" s="2" t="inlineStr">
        <is>
          <t>To Be ordered from McMaster if needed Lead time 1 day</t>
        </is>
      </c>
      <c r="U324" s="3" t="n">
        <v>310</v>
      </c>
      <c r="V324" s="1">
        <f>IF($K324="To be purchased",COUNTIF($K$2:$K324,"To be purchased"),"")</f>
        <v/>
      </c>
    </row>
    <row r="325">
      <c r="A325" s="1" t="inlineStr">
        <is>
          <t>Mechanical parts</t>
        </is>
      </c>
      <c r="B325" s="2" t="inlineStr">
        <is>
          <t>Bolt - Buttonhead(BHCS), M8 x 12 mm</t>
        </is>
      </c>
      <c r="C325" s="2" t="inlineStr">
        <is>
          <t>16-A Bolts - M8</t>
        </is>
      </c>
      <c r="D325" s="1" t="inlineStr">
        <is>
          <t>Kaustubh</t>
        </is>
      </c>
      <c r="E325" s="1" t="n">
        <v>10</v>
      </c>
      <c r="F325" s="1" t="inlineStr">
        <is>
          <t>India</t>
        </is>
      </c>
      <c r="G325" s="1" t="n"/>
      <c r="H325" s="1" t="inlineStr">
        <is>
          <t>No</t>
        </is>
      </c>
      <c r="I325" s="1" t="n"/>
      <c r="J325" s="1" t="n"/>
      <c r="K325" s="1" t="inlineStr">
        <is>
          <t>In stock</t>
        </is>
      </c>
      <c r="L325" s="3" t="n">
        <v>16</v>
      </c>
      <c r="M325" s="4" t="b">
        <v>0</v>
      </c>
      <c r="N325" s="3" t="n">
        <v>6</v>
      </c>
      <c r="O325" s="1" t="n"/>
      <c r="P325" s="1" t="n"/>
      <c r="Q325" s="1" t="n"/>
      <c r="R325" s="1" t="n"/>
      <c r="S325" s="1" t="n"/>
      <c r="T325" s="1" t="n"/>
      <c r="U325" s="1" t="n"/>
      <c r="V325" s="1" t="n"/>
    </row>
    <row r="326">
      <c r="A326" s="1" t="inlineStr">
        <is>
          <t>Mechanical parts</t>
        </is>
      </c>
      <c r="B326" s="2" t="inlineStr">
        <is>
          <t>Nut - Hex, M2</t>
        </is>
      </c>
      <c r="C326" s="2" t="inlineStr">
        <is>
          <t>16-B Nuts</t>
        </is>
      </c>
      <c r="D326" s="1" t="inlineStr">
        <is>
          <t>Kaustubh</t>
        </is>
      </c>
      <c r="E326" s="1" t="n">
        <v>20</v>
      </c>
      <c r="F326" s="1" t="inlineStr">
        <is>
          <t>India</t>
        </is>
      </c>
      <c r="G326" s="1" t="n"/>
      <c r="H326" s="1" t="inlineStr">
        <is>
          <t>No</t>
        </is>
      </c>
      <c r="I326" s="1" t="n"/>
      <c r="J326" s="1" t="n"/>
      <c r="K326" s="1" t="inlineStr">
        <is>
          <t>In stock</t>
        </is>
      </c>
      <c r="L326" s="3" t="n">
        <v>16</v>
      </c>
      <c r="M326" s="4" t="b">
        <v>0</v>
      </c>
      <c r="N326" s="3" t="n">
        <v>6</v>
      </c>
      <c r="O326" s="1" t="n"/>
      <c r="P326" s="1" t="n"/>
      <c r="Q326" s="1" t="n"/>
      <c r="R326" s="1" t="n"/>
      <c r="S326" s="1" t="inlineStr">
        <is>
          <t>Mobile (travels with robot)</t>
        </is>
      </c>
      <c r="T326" s="2" t="inlineStr">
        <is>
          <t>To Be ordered from McMaster if needed Lead time 1 day</t>
        </is>
      </c>
      <c r="U326" s="3" t="n">
        <v>318</v>
      </c>
      <c r="V326" s="1">
        <f>IF($K326="To be purchased",COUNTIF($K$2:$K326,"To be purchased"),"")</f>
        <v/>
      </c>
    </row>
    <row r="327">
      <c r="A327" s="1" t="inlineStr">
        <is>
          <t>Mechanical parts</t>
        </is>
      </c>
      <c r="B327" s="2" t="inlineStr">
        <is>
          <t>Nut - Hex, M3</t>
        </is>
      </c>
      <c r="C327" s="2" t="inlineStr">
        <is>
          <t>16-B Nuts</t>
        </is>
      </c>
      <c r="D327" s="1" t="inlineStr">
        <is>
          <t>Kaustubh</t>
        </is>
      </c>
      <c r="E327" s="1" t="n">
        <v>20</v>
      </c>
      <c r="F327" s="1" t="inlineStr">
        <is>
          <t>India</t>
        </is>
      </c>
      <c r="G327" s="1" t="n"/>
      <c r="H327" s="1" t="inlineStr">
        <is>
          <t>No</t>
        </is>
      </c>
      <c r="I327" s="1" t="n"/>
      <c r="J327" s="1" t="n"/>
      <c r="K327" s="1" t="inlineStr">
        <is>
          <t>In stock</t>
        </is>
      </c>
      <c r="L327" s="3" t="n">
        <v>16</v>
      </c>
      <c r="M327" s="4" t="b">
        <v>0</v>
      </c>
      <c r="N327" s="3" t="n">
        <v>6</v>
      </c>
      <c r="O327" s="1" t="n"/>
      <c r="P327" s="1" t="n"/>
      <c r="Q327" s="1" t="n"/>
      <c r="R327" s="1" t="n"/>
      <c r="S327" s="1" t="inlineStr">
        <is>
          <t>Mobile (travels with robot)</t>
        </is>
      </c>
      <c r="T327" s="2" t="inlineStr">
        <is>
          <t>To Be ordered from McMaster if needed Lead time 1 day</t>
        </is>
      </c>
      <c r="U327" s="3" t="n">
        <v>319</v>
      </c>
      <c r="V327" s="1">
        <f>IF($K327="To be purchased",COUNTIF($K$2:$K327,"To be purchased"),"")</f>
        <v/>
      </c>
    </row>
    <row r="328">
      <c r="A328" s="1" t="inlineStr">
        <is>
          <t>Mechanical parts</t>
        </is>
      </c>
      <c r="B328" s="2" t="inlineStr">
        <is>
          <t>Nut - Hex, M4</t>
        </is>
      </c>
      <c r="C328" s="2" t="inlineStr">
        <is>
          <t>16-B Nuts</t>
        </is>
      </c>
      <c r="D328" s="1" t="inlineStr">
        <is>
          <t>Kaustubh</t>
        </is>
      </c>
      <c r="E328" s="1" t="n">
        <v>20</v>
      </c>
      <c r="F328" s="1" t="inlineStr">
        <is>
          <t>India</t>
        </is>
      </c>
      <c r="G328" s="1" t="n"/>
      <c r="H328" s="1" t="inlineStr">
        <is>
          <t>No</t>
        </is>
      </c>
      <c r="I328" s="1" t="n"/>
      <c r="J328" s="1" t="n"/>
      <c r="K328" s="1" t="inlineStr">
        <is>
          <t>In stock</t>
        </is>
      </c>
      <c r="L328" s="3" t="n">
        <v>16</v>
      </c>
      <c r="M328" s="4" t="b">
        <v>0</v>
      </c>
      <c r="N328" s="3" t="n">
        <v>6</v>
      </c>
      <c r="O328" s="1" t="n"/>
      <c r="P328" s="1" t="n"/>
      <c r="Q328" s="1" t="n"/>
      <c r="R328" s="1" t="n"/>
      <c r="S328" s="1" t="inlineStr">
        <is>
          <t>Mobile (travels with robot)</t>
        </is>
      </c>
      <c r="T328" s="2" t="inlineStr">
        <is>
          <t>To Be ordered from McMaster if needed Lead time 1 day</t>
        </is>
      </c>
      <c r="U328" s="3" t="n">
        <v>320</v>
      </c>
      <c r="V328" s="1">
        <f>IF($K328="To be purchased",COUNTIF($K$2:$K328,"To be purchased"),"")</f>
        <v/>
      </c>
    </row>
    <row r="329">
      <c r="A329" s="1" t="inlineStr">
        <is>
          <t>Mechanical parts</t>
        </is>
      </c>
      <c r="B329" s="2" t="inlineStr">
        <is>
          <t>Nut - Hex, M5</t>
        </is>
      </c>
      <c r="C329" s="2" t="inlineStr">
        <is>
          <t>16-B Nuts</t>
        </is>
      </c>
      <c r="D329" s="1" t="inlineStr">
        <is>
          <t>Kaustubh</t>
        </is>
      </c>
      <c r="E329" s="1" t="n">
        <v>20</v>
      </c>
      <c r="F329" s="1" t="inlineStr">
        <is>
          <t>India</t>
        </is>
      </c>
      <c r="G329" s="1" t="n"/>
      <c r="H329" s="1" t="inlineStr">
        <is>
          <t>No</t>
        </is>
      </c>
      <c r="I329" s="1" t="n"/>
      <c r="J329" s="1" t="n"/>
      <c r="K329" s="1" t="inlineStr">
        <is>
          <t>In stock</t>
        </is>
      </c>
      <c r="L329" s="3" t="n">
        <v>16</v>
      </c>
      <c r="M329" s="4" t="b">
        <v>0</v>
      </c>
      <c r="N329" s="3" t="n">
        <v>6</v>
      </c>
      <c r="O329" s="1" t="n"/>
      <c r="P329" s="1" t="n"/>
      <c r="Q329" s="1" t="n"/>
      <c r="R329" s="1" t="n"/>
      <c r="S329" s="1" t="inlineStr">
        <is>
          <t>Mobile (travels with robot)</t>
        </is>
      </c>
      <c r="T329" s="2" t="inlineStr">
        <is>
          <t>To Be ordered from McMaster if needed Lead time 1 day</t>
        </is>
      </c>
      <c r="U329" s="3" t="n">
        <v>321</v>
      </c>
      <c r="V329" s="1">
        <f>IF($K329="To be purchased",COUNTIF($K$2:$K329,"To be purchased"),"")</f>
        <v/>
      </c>
    </row>
    <row r="330">
      <c r="A330" s="1" t="inlineStr">
        <is>
          <t>Mechanical parts</t>
        </is>
      </c>
      <c r="B330" s="2" t="inlineStr">
        <is>
          <t>Nut - Hex, M6</t>
        </is>
      </c>
      <c r="C330" s="2" t="inlineStr">
        <is>
          <t>16-B Nuts</t>
        </is>
      </c>
      <c r="D330" s="1" t="inlineStr">
        <is>
          <t>Kaustubh</t>
        </is>
      </c>
      <c r="E330" s="1" t="n">
        <v>20</v>
      </c>
      <c r="F330" s="1" t="inlineStr">
        <is>
          <t>India</t>
        </is>
      </c>
      <c r="G330" s="1" t="n"/>
      <c r="H330" s="1" t="inlineStr">
        <is>
          <t>No</t>
        </is>
      </c>
      <c r="I330" s="1" t="n"/>
      <c r="J330" s="1" t="n"/>
      <c r="K330" s="1" t="inlineStr">
        <is>
          <t>In stock</t>
        </is>
      </c>
      <c r="L330" s="3" t="n">
        <v>16</v>
      </c>
      <c r="M330" s="4" t="b">
        <v>0</v>
      </c>
      <c r="N330" s="3" t="n">
        <v>6</v>
      </c>
      <c r="O330" s="1" t="n"/>
      <c r="P330" s="1" t="n"/>
      <c r="Q330" s="1" t="n"/>
      <c r="R330" s="1" t="n"/>
      <c r="S330" s="1" t="inlineStr">
        <is>
          <t>Mobile (travels with robot)</t>
        </is>
      </c>
      <c r="T330" s="2" t="inlineStr">
        <is>
          <t>To Be ordered from McMaster if needed Lead time 1 day</t>
        </is>
      </c>
      <c r="U330" s="3" t="n">
        <v>322</v>
      </c>
      <c r="V330" s="1">
        <f>IF($K330="To be purchased",COUNTIF($K$2:$K330,"To be purchased"),"")</f>
        <v/>
      </c>
    </row>
    <row r="331">
      <c r="A331" s="1" t="inlineStr">
        <is>
          <t>Mechanical parts</t>
        </is>
      </c>
      <c r="B331" s="2" t="inlineStr">
        <is>
          <t>Nut - Hex, M8</t>
        </is>
      </c>
      <c r="C331" s="2" t="inlineStr">
        <is>
          <t>16-B Nuts</t>
        </is>
      </c>
      <c r="D331" s="1" t="inlineStr">
        <is>
          <t>Kaustubh</t>
        </is>
      </c>
      <c r="E331" s="1" t="n">
        <v>20</v>
      </c>
      <c r="F331" s="1" t="inlineStr">
        <is>
          <t>India</t>
        </is>
      </c>
      <c r="G331" s="1" t="n"/>
      <c r="H331" s="1" t="inlineStr">
        <is>
          <t>No</t>
        </is>
      </c>
      <c r="I331" s="1" t="n"/>
      <c r="J331" s="1" t="n"/>
      <c r="K331" s="1" t="inlineStr">
        <is>
          <t>In stock</t>
        </is>
      </c>
      <c r="L331" s="3" t="n">
        <v>16</v>
      </c>
      <c r="M331" s="4" t="b">
        <v>0</v>
      </c>
      <c r="N331" s="3" t="n">
        <v>6</v>
      </c>
      <c r="O331" s="1" t="n"/>
      <c r="P331" s="1" t="n"/>
      <c r="Q331" s="1" t="n"/>
      <c r="R331" s="1" t="n"/>
      <c r="S331" s="1" t="inlineStr">
        <is>
          <t>Mobile (travels with robot)</t>
        </is>
      </c>
      <c r="T331" s="2" t="inlineStr">
        <is>
          <t>To Be ordered from McMaster if needed Lead time 1 day</t>
        </is>
      </c>
      <c r="U331" s="3" t="n">
        <v>323</v>
      </c>
      <c r="V331" s="1">
        <f>IF($K331="To be purchased",COUNTIF($K$2:$K331,"To be purchased"),"")</f>
        <v/>
      </c>
    </row>
    <row r="332">
      <c r="A332" s="1" t="inlineStr">
        <is>
          <t>Mechanical parts</t>
        </is>
      </c>
      <c r="B332" s="2" t="inlineStr">
        <is>
          <t>Nut - Hex, M10</t>
        </is>
      </c>
      <c r="C332" s="2" t="inlineStr">
        <is>
          <t>16-B Nuts</t>
        </is>
      </c>
      <c r="D332" s="1" t="inlineStr">
        <is>
          <t>Kaustubh</t>
        </is>
      </c>
      <c r="E332" s="1" t="n">
        <v>20</v>
      </c>
      <c r="F332" s="1" t="inlineStr">
        <is>
          <t>India</t>
        </is>
      </c>
      <c r="G332" s="1" t="n"/>
      <c r="H332" s="1" t="inlineStr">
        <is>
          <t>No</t>
        </is>
      </c>
      <c r="I332" s="1" t="n"/>
      <c r="J332" s="1" t="n"/>
      <c r="K332" s="1" t="inlineStr">
        <is>
          <t>In stock</t>
        </is>
      </c>
      <c r="L332" s="3" t="n">
        <v>16</v>
      </c>
      <c r="M332" s="4" t="b">
        <v>0</v>
      </c>
      <c r="N332" s="3" t="n">
        <v>6</v>
      </c>
      <c r="O332" s="1" t="n"/>
      <c r="P332" s="1" t="n"/>
      <c r="Q332" s="1" t="n"/>
      <c r="R332" s="1" t="n"/>
      <c r="S332" s="1" t="inlineStr">
        <is>
          <t>Mobile (travels with robot)</t>
        </is>
      </c>
      <c r="T332" s="2" t="inlineStr">
        <is>
          <t>To Be ordered from McMaster if needed Lead time 1 day</t>
        </is>
      </c>
      <c r="U332" s="3" t="n">
        <v>324</v>
      </c>
      <c r="V332" s="1">
        <f>IF($K332="To be purchased",COUNTIF($K$2:$K332,"To be purchased"),"")</f>
        <v/>
      </c>
    </row>
    <row r="333">
      <c r="A333" s="1" t="inlineStr">
        <is>
          <t>Mechanical parts</t>
        </is>
      </c>
      <c r="B333" s="2" t="inlineStr">
        <is>
          <t>Nut - Nylon Lock, M2</t>
        </is>
      </c>
      <c r="C333" s="2" t="inlineStr">
        <is>
          <t>16-B Nuts</t>
        </is>
      </c>
      <c r="D333" s="1" t="inlineStr">
        <is>
          <t>Kaustubh</t>
        </is>
      </c>
      <c r="E333" s="1" t="n">
        <v>20</v>
      </c>
      <c r="F333" s="1" t="inlineStr">
        <is>
          <t>India</t>
        </is>
      </c>
      <c r="G333" s="1" t="n"/>
      <c r="H333" s="1" t="inlineStr">
        <is>
          <t>No</t>
        </is>
      </c>
      <c r="I333" s="1" t="n"/>
      <c r="J333" s="1" t="n"/>
      <c r="K333" s="1" t="inlineStr">
        <is>
          <t>In stock</t>
        </is>
      </c>
      <c r="L333" s="3" t="n">
        <v>16</v>
      </c>
      <c r="M333" s="4" t="b">
        <v>0</v>
      </c>
      <c r="N333" s="3" t="n">
        <v>6</v>
      </c>
      <c r="O333" s="1" t="n"/>
      <c r="P333" s="1" t="n"/>
      <c r="Q333" s="1" t="n"/>
      <c r="R333" s="1" t="n"/>
      <c r="S333" s="1" t="inlineStr">
        <is>
          <t>Mobile (travels with robot)</t>
        </is>
      </c>
      <c r="T333" s="2" t="inlineStr">
        <is>
          <t>To Be ordered from McMaster if needed Lead time 1 day</t>
        </is>
      </c>
      <c r="U333" s="3" t="n">
        <v>326</v>
      </c>
      <c r="V333" s="1">
        <f>IF($K333="To be purchased",COUNTIF($K$2:$K333,"To be purchased"),"")</f>
        <v/>
      </c>
    </row>
    <row r="334">
      <c r="A334" s="1" t="inlineStr">
        <is>
          <t>Mechanical parts</t>
        </is>
      </c>
      <c r="B334" s="2" t="inlineStr">
        <is>
          <t>Nut - Nylon Lock, M3</t>
        </is>
      </c>
      <c r="C334" s="2" t="inlineStr">
        <is>
          <t>16-B Nuts</t>
        </is>
      </c>
      <c r="D334" s="1" t="inlineStr">
        <is>
          <t>Kaustubh</t>
        </is>
      </c>
      <c r="E334" s="1" t="n">
        <v>20</v>
      </c>
      <c r="F334" s="1" t="inlineStr">
        <is>
          <t>India</t>
        </is>
      </c>
      <c r="G334" s="1" t="n"/>
      <c r="H334" s="1" t="inlineStr">
        <is>
          <t>No</t>
        </is>
      </c>
      <c r="I334" s="1" t="n"/>
      <c r="J334" s="1" t="n"/>
      <c r="K334" s="1" t="inlineStr">
        <is>
          <t>In stock</t>
        </is>
      </c>
      <c r="L334" s="3" t="n">
        <v>16</v>
      </c>
      <c r="M334" s="4" t="b">
        <v>0</v>
      </c>
      <c r="N334" s="3" t="n">
        <v>6</v>
      </c>
      <c r="O334" s="1" t="n"/>
      <c r="P334" s="1" t="n"/>
      <c r="Q334" s="1" t="n"/>
      <c r="R334" s="1" t="n"/>
      <c r="S334" s="1" t="inlineStr">
        <is>
          <t>Mobile (travels with robot)</t>
        </is>
      </c>
      <c r="T334" s="2" t="inlineStr">
        <is>
          <t>To Be ordered from McMaster if needed Lead time 1 day</t>
        </is>
      </c>
      <c r="U334" s="3" t="n">
        <v>327</v>
      </c>
      <c r="V334" s="1">
        <f>IF($K334="To be purchased",COUNTIF($K$2:$K334,"To be purchased"),"")</f>
        <v/>
      </c>
    </row>
    <row r="335">
      <c r="A335" s="1" t="inlineStr">
        <is>
          <t>Mechanical parts</t>
        </is>
      </c>
      <c r="B335" s="2" t="inlineStr">
        <is>
          <t>Nut - Nylon Lock, M4</t>
        </is>
      </c>
      <c r="C335" s="2" t="inlineStr">
        <is>
          <t>16-B Nuts</t>
        </is>
      </c>
      <c r="D335" s="1" t="inlineStr">
        <is>
          <t>Kaustubh</t>
        </is>
      </c>
      <c r="E335" s="1" t="n">
        <v>20</v>
      </c>
      <c r="F335" s="1" t="inlineStr">
        <is>
          <t>India</t>
        </is>
      </c>
      <c r="G335" s="1" t="n"/>
      <c r="H335" s="1" t="inlineStr">
        <is>
          <t>No</t>
        </is>
      </c>
      <c r="I335" s="5" t="n"/>
      <c r="J335" s="6">
        <f>IFERROR(HYPERLINK("https://docs.google.com/spreadsheets/d/10M8oEMfSST-xuPwcSARfQDNcQJ0xrCp8O9iHBGPAr34/edit?gid=1956219685&amp;range=A"&amp;MATCH("PR-2026-1677",'PR Lookup'!A:A,0),"PR-2026-1677"),"PR-2026-1677")</f>
        <v/>
      </c>
      <c r="K335" s="1" t="inlineStr">
        <is>
          <t>PR Raised</t>
        </is>
      </c>
      <c r="L335" s="3" t="n">
        <v>16</v>
      </c>
      <c r="M335" s="4" t="b">
        <v>0</v>
      </c>
      <c r="N335" s="3" t="n">
        <v>6</v>
      </c>
      <c r="O335" s="1" t="n"/>
      <c r="P335" s="1" t="n"/>
      <c r="Q335" s="1" t="n"/>
      <c r="R335" s="1" t="n"/>
      <c r="S335" s="1" t="inlineStr">
        <is>
          <t>Mobile (travels with robot)</t>
        </is>
      </c>
      <c r="T335" s="2" t="inlineStr">
        <is>
          <t>To Be ordered from McMaster if needed Lead time 1 day</t>
        </is>
      </c>
      <c r="U335" s="3" t="n">
        <v>328</v>
      </c>
      <c r="V335" s="1">
        <f>IF($K335="To be purchased",COUNTIF($K$2:$K335,"To be purchased"),"")</f>
        <v/>
      </c>
    </row>
    <row r="336">
      <c r="A336" s="1" t="inlineStr">
        <is>
          <t>Mechanical parts</t>
        </is>
      </c>
      <c r="B336" s="2" t="inlineStr">
        <is>
          <t>Nut - Nylon Lock, M5</t>
        </is>
      </c>
      <c r="C336" s="2" t="inlineStr">
        <is>
          <t>16-B Nuts</t>
        </is>
      </c>
      <c r="D336" s="1" t="inlineStr">
        <is>
          <t>Kaustubh</t>
        </is>
      </c>
      <c r="E336" s="1" t="n">
        <v>20</v>
      </c>
      <c r="F336" s="1" t="inlineStr">
        <is>
          <t>India</t>
        </is>
      </c>
      <c r="G336" s="1" t="n"/>
      <c r="H336" s="1" t="inlineStr">
        <is>
          <t>No</t>
        </is>
      </c>
      <c r="I336" s="1" t="n"/>
      <c r="J336" s="1" t="n"/>
      <c r="K336" s="1" t="inlineStr">
        <is>
          <t>In stock</t>
        </is>
      </c>
      <c r="L336" s="3" t="n">
        <v>16</v>
      </c>
      <c r="M336" s="4" t="b">
        <v>0</v>
      </c>
      <c r="N336" s="3" t="n">
        <v>6</v>
      </c>
      <c r="O336" s="1" t="n"/>
      <c r="P336" s="1" t="n"/>
      <c r="Q336" s="1" t="n"/>
      <c r="R336" s="1" t="n"/>
      <c r="S336" s="1" t="inlineStr">
        <is>
          <t>Mobile (travels with robot)</t>
        </is>
      </c>
      <c r="T336" s="2" t="inlineStr">
        <is>
          <t>To Be ordered from McMaster if needed Lead time 1 day</t>
        </is>
      </c>
      <c r="U336" s="3" t="n">
        <v>329</v>
      </c>
      <c r="V336" s="1">
        <f>IF($K336="To be purchased",COUNTIF($K$2:$K336,"To be purchased"),"")</f>
        <v/>
      </c>
    </row>
    <row r="337">
      <c r="A337" s="1" t="inlineStr">
        <is>
          <t>Mechanical parts</t>
        </is>
      </c>
      <c r="B337" s="2" t="inlineStr">
        <is>
          <t>Nut - Nylon Lock, M6</t>
        </is>
      </c>
      <c r="C337" s="2" t="inlineStr">
        <is>
          <t>16-B Nuts</t>
        </is>
      </c>
      <c r="D337" s="1" t="inlineStr">
        <is>
          <t>Kaustubh</t>
        </is>
      </c>
      <c r="E337" s="1" t="n">
        <v>20</v>
      </c>
      <c r="F337" s="1" t="inlineStr">
        <is>
          <t>India</t>
        </is>
      </c>
      <c r="G337" s="1" t="n"/>
      <c r="H337" s="1" t="inlineStr">
        <is>
          <t>No</t>
        </is>
      </c>
      <c r="I337" s="1" t="n"/>
      <c r="J337" s="1" t="n"/>
      <c r="K337" s="1" t="inlineStr">
        <is>
          <t>In stock</t>
        </is>
      </c>
      <c r="L337" s="3" t="n">
        <v>16</v>
      </c>
      <c r="M337" s="4" t="b">
        <v>0</v>
      </c>
      <c r="N337" s="3" t="n">
        <v>6</v>
      </c>
      <c r="O337" s="1" t="n"/>
      <c r="P337" s="1" t="n"/>
      <c r="Q337" s="1" t="n"/>
      <c r="R337" s="1" t="n"/>
      <c r="S337" s="1" t="inlineStr">
        <is>
          <t>Mobile (travels with robot)</t>
        </is>
      </c>
      <c r="T337" s="2" t="inlineStr">
        <is>
          <t>To Be ordered from McMaster if needed Lead time 1 day</t>
        </is>
      </c>
      <c r="U337" s="3" t="n">
        <v>330</v>
      </c>
      <c r="V337" s="1">
        <f>IF($K337="To be purchased",COUNTIF($K$2:$K337,"To be purchased"),"")</f>
        <v/>
      </c>
    </row>
    <row r="338">
      <c r="A338" s="1" t="inlineStr">
        <is>
          <t>Mechanical parts</t>
        </is>
      </c>
      <c r="B338" s="2" t="inlineStr">
        <is>
          <t>Nut - Nylon Lock, M8</t>
        </is>
      </c>
      <c r="C338" s="2" t="inlineStr">
        <is>
          <t>16-B Nuts</t>
        </is>
      </c>
      <c r="D338" s="1" t="inlineStr">
        <is>
          <t>Kaustubh</t>
        </is>
      </c>
      <c r="E338" s="1" t="n">
        <v>20</v>
      </c>
      <c r="F338" s="1" t="inlineStr">
        <is>
          <t>India</t>
        </is>
      </c>
      <c r="G338" s="1" t="n"/>
      <c r="H338" s="1" t="inlineStr">
        <is>
          <t>No</t>
        </is>
      </c>
      <c r="I338" s="1" t="n"/>
      <c r="J338" s="1" t="n"/>
      <c r="K338" s="1" t="inlineStr">
        <is>
          <t>In stock</t>
        </is>
      </c>
      <c r="L338" s="3" t="n">
        <v>16</v>
      </c>
      <c r="M338" s="4" t="b">
        <v>0</v>
      </c>
      <c r="N338" s="3" t="n">
        <v>6</v>
      </c>
      <c r="O338" s="1" t="n"/>
      <c r="P338" s="1" t="n"/>
      <c r="Q338" s="1" t="n"/>
      <c r="R338" s="1" t="n"/>
      <c r="S338" s="1" t="inlineStr">
        <is>
          <t>Mobile (travels with robot)</t>
        </is>
      </c>
      <c r="T338" s="2" t="inlineStr">
        <is>
          <t>To Be ordered from McMaster if needed Lead time 1 day</t>
        </is>
      </c>
      <c r="U338" s="3" t="n">
        <v>331</v>
      </c>
      <c r="V338" s="1">
        <f>IF($K338="To be purchased",COUNTIF($K$2:$K338,"To be purchased"),"")</f>
        <v/>
      </c>
    </row>
    <row r="339">
      <c r="A339" s="1" t="inlineStr">
        <is>
          <t>Mechanical parts</t>
        </is>
      </c>
      <c r="B339" s="2" t="inlineStr">
        <is>
          <t>Nut - Nylon Lock, M10</t>
        </is>
      </c>
      <c r="C339" s="2" t="inlineStr">
        <is>
          <t>16-B Nuts</t>
        </is>
      </c>
      <c r="D339" s="1" t="inlineStr">
        <is>
          <t>Kaustubh</t>
        </is>
      </c>
      <c r="E339" s="1" t="n">
        <v>20</v>
      </c>
      <c r="F339" s="1" t="inlineStr">
        <is>
          <t>India</t>
        </is>
      </c>
      <c r="G339" s="1" t="n"/>
      <c r="H339" s="1" t="inlineStr">
        <is>
          <t>No</t>
        </is>
      </c>
      <c r="I339" s="1" t="n"/>
      <c r="J339" s="1" t="n"/>
      <c r="K339" s="1" t="inlineStr">
        <is>
          <t>In stock</t>
        </is>
      </c>
      <c r="L339" s="3" t="n">
        <v>16</v>
      </c>
      <c r="M339" s="4" t="b">
        <v>0</v>
      </c>
      <c r="N339" s="3" t="n">
        <v>6</v>
      </c>
      <c r="O339" s="1" t="n"/>
      <c r="P339" s="1" t="n"/>
      <c r="Q339" s="1" t="n"/>
      <c r="R339" s="1" t="n"/>
      <c r="S339" s="1" t="inlineStr">
        <is>
          <t>Mobile (travels with robot)</t>
        </is>
      </c>
      <c r="T339" s="2" t="inlineStr">
        <is>
          <t>To Be ordered from McMaster if needed Lead time 1 day</t>
        </is>
      </c>
      <c r="U339" s="3" t="n">
        <v>332</v>
      </c>
      <c r="V339" s="1">
        <f>IF($K339="To be purchased",COUNTIF($K$2:$K339,"To be purchased"),"")</f>
        <v/>
      </c>
    </row>
    <row r="340">
      <c r="A340" s="1" t="inlineStr">
        <is>
          <t>Mechanical parts</t>
        </is>
      </c>
      <c r="B340" s="2" t="inlineStr">
        <is>
          <t>Washer - Flat, M2</t>
        </is>
      </c>
      <c r="C340" s="2" t="inlineStr">
        <is>
          <t>16-C Washers</t>
        </is>
      </c>
      <c r="D340" s="1" t="inlineStr">
        <is>
          <t>Kaustubh</t>
        </is>
      </c>
      <c r="E340" s="1" t="n">
        <v>20</v>
      </c>
      <c r="F340" s="1" t="inlineStr">
        <is>
          <t>India</t>
        </is>
      </c>
      <c r="G340" s="1" t="n"/>
      <c r="H340" s="1" t="inlineStr">
        <is>
          <t>No</t>
        </is>
      </c>
      <c r="I340" s="5" t="n"/>
      <c r="J340" s="6">
        <f>IFERROR(HYPERLINK("https://docs.google.com/spreadsheets/d/10M8oEMfSST-xuPwcSARfQDNcQJ0xrCp8O9iHBGPAr34/edit?gid=1956219685&amp;range=A"&amp;MATCH("PR-2026-1677",'PR Lookup'!A:A,0),"PR-2026-1677"),"PR-2026-1677")</f>
        <v/>
      </c>
      <c r="K340" s="1" t="inlineStr">
        <is>
          <t>PR Raised</t>
        </is>
      </c>
      <c r="L340" s="3" t="n">
        <v>16</v>
      </c>
      <c r="M340" s="4" t="b">
        <v>0</v>
      </c>
      <c r="N340" s="3" t="n">
        <v>6</v>
      </c>
      <c r="O340" s="1" t="n"/>
      <c r="P340" s="1" t="n"/>
      <c r="Q340" s="1" t="n"/>
      <c r="R340" s="1" t="n"/>
      <c r="S340" s="1" t="inlineStr">
        <is>
          <t>Mobile (travels with robot)</t>
        </is>
      </c>
      <c r="T340" s="2" t="inlineStr">
        <is>
          <t>To Be ordered from McMaster if needed Lead time 1 day</t>
        </is>
      </c>
      <c r="U340" s="3" t="n">
        <v>333</v>
      </c>
      <c r="V340" s="1">
        <f>IF($K340="To be purchased",COUNTIF($K$2:$K340,"To be purchased"),"")</f>
        <v/>
      </c>
    </row>
    <row r="341">
      <c r="A341" s="1" t="inlineStr">
        <is>
          <t>Mechanical parts</t>
        </is>
      </c>
      <c r="B341" s="2" t="inlineStr">
        <is>
          <t>Washer - Flat, M3</t>
        </is>
      </c>
      <c r="C341" s="2" t="inlineStr">
        <is>
          <t>16-C Washers</t>
        </is>
      </c>
      <c r="D341" s="1" t="inlineStr">
        <is>
          <t>Kaustubh</t>
        </is>
      </c>
      <c r="E341" s="1" t="n">
        <v>20</v>
      </c>
      <c r="F341" s="1" t="inlineStr">
        <is>
          <t>India</t>
        </is>
      </c>
      <c r="G341" s="1" t="n"/>
      <c r="H341" s="1" t="inlineStr">
        <is>
          <t>No</t>
        </is>
      </c>
      <c r="I341" s="1" t="n"/>
      <c r="J341" s="1" t="n"/>
      <c r="K341" s="1" t="inlineStr">
        <is>
          <t>In stock</t>
        </is>
      </c>
      <c r="L341" s="3" t="n">
        <v>16</v>
      </c>
      <c r="M341" s="4" t="b">
        <v>0</v>
      </c>
      <c r="N341" s="3" t="n">
        <v>6</v>
      </c>
      <c r="O341" s="1" t="n"/>
      <c r="P341" s="1" t="n"/>
      <c r="Q341" s="1" t="n"/>
      <c r="R341" s="1" t="n"/>
      <c r="S341" s="1" t="inlineStr">
        <is>
          <t>Mobile (travels with robot)</t>
        </is>
      </c>
      <c r="T341" s="2" t="inlineStr">
        <is>
          <t>To Be ordered from McMaster if needed Lead time 1 day</t>
        </is>
      </c>
      <c r="U341" s="3" t="n">
        <v>334</v>
      </c>
      <c r="V341" s="1">
        <f>IF($K341="To be purchased",COUNTIF($K$2:$K341,"To be purchased"),"")</f>
        <v/>
      </c>
    </row>
    <row r="342">
      <c r="A342" s="1" t="inlineStr">
        <is>
          <t>Mechanical parts</t>
        </is>
      </c>
      <c r="B342" s="2" t="inlineStr">
        <is>
          <t>Washer - Flat, M4</t>
        </is>
      </c>
      <c r="C342" s="2" t="inlineStr">
        <is>
          <t>16-C Washers</t>
        </is>
      </c>
      <c r="D342" s="1" t="inlineStr">
        <is>
          <t>Kaustubh</t>
        </is>
      </c>
      <c r="E342" s="1" t="n">
        <v>20</v>
      </c>
      <c r="F342" s="1" t="inlineStr">
        <is>
          <t>India</t>
        </is>
      </c>
      <c r="G342" s="1" t="n"/>
      <c r="H342" s="1" t="inlineStr">
        <is>
          <t>No</t>
        </is>
      </c>
      <c r="I342" s="1" t="n"/>
      <c r="J342" s="1" t="n"/>
      <c r="K342" s="1" t="inlineStr">
        <is>
          <t>In stock</t>
        </is>
      </c>
      <c r="L342" s="3" t="n">
        <v>16</v>
      </c>
      <c r="M342" s="4" t="b">
        <v>0</v>
      </c>
      <c r="N342" s="3" t="n">
        <v>6</v>
      </c>
      <c r="O342" s="1" t="n"/>
      <c r="P342" s="1" t="n"/>
      <c r="Q342" s="1" t="n"/>
      <c r="R342" s="1" t="n"/>
      <c r="S342" s="1" t="inlineStr">
        <is>
          <t>Mobile (travels with robot)</t>
        </is>
      </c>
      <c r="T342" s="2" t="inlineStr">
        <is>
          <t>To Be ordered from McMaster if needed Lead time 1 day</t>
        </is>
      </c>
      <c r="U342" s="3" t="n">
        <v>335</v>
      </c>
      <c r="V342" s="1">
        <f>IF($K342="To be purchased",COUNTIF($K$2:$K342,"To be purchased"),"")</f>
        <v/>
      </c>
    </row>
    <row r="343">
      <c r="A343" s="1" t="inlineStr">
        <is>
          <t>Mechanical parts</t>
        </is>
      </c>
      <c r="B343" s="2" t="inlineStr">
        <is>
          <t>Washer - Flat, M5</t>
        </is>
      </c>
      <c r="C343" s="2" t="inlineStr">
        <is>
          <t>16-C Washers</t>
        </is>
      </c>
      <c r="D343" s="1" t="inlineStr">
        <is>
          <t>Kaustubh</t>
        </is>
      </c>
      <c r="E343" s="1" t="n">
        <v>20</v>
      </c>
      <c r="F343" s="1" t="inlineStr">
        <is>
          <t>India</t>
        </is>
      </c>
      <c r="G343" s="1" t="n"/>
      <c r="H343" s="1" t="inlineStr">
        <is>
          <t>No</t>
        </is>
      </c>
      <c r="I343" s="5" t="n"/>
      <c r="J343" s="6">
        <f>IFERROR(HYPERLINK("https://docs.google.com/spreadsheets/d/10M8oEMfSST-xuPwcSARfQDNcQJ0xrCp8O9iHBGPAr34/edit?gid=1956219685&amp;range=A"&amp;MATCH("PR-2026-1677",'PR Lookup'!A:A,0),"PR-2026-1677"),"PR-2026-1677")</f>
        <v/>
      </c>
      <c r="K343" s="1" t="inlineStr">
        <is>
          <t>PR Raised</t>
        </is>
      </c>
      <c r="L343" s="3" t="n">
        <v>16</v>
      </c>
      <c r="M343" s="4" t="b">
        <v>0</v>
      </c>
      <c r="N343" s="3" t="n">
        <v>6</v>
      </c>
      <c r="O343" s="1" t="n"/>
      <c r="P343" s="1" t="n"/>
      <c r="Q343" s="1" t="n"/>
      <c r="R343" s="1" t="n"/>
      <c r="S343" s="1" t="inlineStr">
        <is>
          <t>Mobile (travels with robot)</t>
        </is>
      </c>
      <c r="T343" s="2" t="inlineStr">
        <is>
          <t>To Be ordered from McMaster if needed Lead time 1 day</t>
        </is>
      </c>
      <c r="U343" s="3" t="n">
        <v>336</v>
      </c>
      <c r="V343" s="1">
        <f>IF($K343="To be purchased",COUNTIF($K$2:$K343,"To be purchased"),"")</f>
        <v/>
      </c>
    </row>
    <row r="344">
      <c r="A344" s="1" t="inlineStr">
        <is>
          <t>Mechanical parts</t>
        </is>
      </c>
      <c r="B344" s="2" t="inlineStr">
        <is>
          <t>Washer - Flat, M6</t>
        </is>
      </c>
      <c r="C344" s="2" t="inlineStr">
        <is>
          <t>16-C Washers</t>
        </is>
      </c>
      <c r="D344" s="1" t="inlineStr">
        <is>
          <t>Kaustubh</t>
        </is>
      </c>
      <c r="E344" s="1" t="n">
        <v>20</v>
      </c>
      <c r="F344" s="1" t="inlineStr">
        <is>
          <t>India</t>
        </is>
      </c>
      <c r="G344" s="1" t="n"/>
      <c r="H344" s="1" t="inlineStr">
        <is>
          <t>No</t>
        </is>
      </c>
      <c r="I344" s="5" t="n"/>
      <c r="J344" s="6">
        <f>IFERROR(HYPERLINK("https://docs.google.com/spreadsheets/d/10M8oEMfSST-xuPwcSARfQDNcQJ0xrCp8O9iHBGPAr34/edit?gid=1956219685&amp;range=A"&amp;MATCH("PR-2026-1677",'PR Lookup'!A:A,0),"PR-2026-1677"),"PR-2026-1677")</f>
        <v/>
      </c>
      <c r="K344" s="1" t="inlineStr">
        <is>
          <t>PR Raised</t>
        </is>
      </c>
      <c r="L344" s="3" t="n">
        <v>16</v>
      </c>
      <c r="M344" s="4" t="b">
        <v>0</v>
      </c>
      <c r="N344" s="3" t="n">
        <v>6</v>
      </c>
      <c r="O344" s="1" t="n"/>
      <c r="P344" s="1" t="n"/>
      <c r="Q344" s="1" t="n"/>
      <c r="R344" s="1" t="n"/>
      <c r="S344" s="1" t="inlineStr">
        <is>
          <t>Mobile (travels with robot)</t>
        </is>
      </c>
      <c r="T344" s="2" t="inlineStr">
        <is>
          <t>To Be ordered from McMaster if needed Lead time 1 day</t>
        </is>
      </c>
      <c r="U344" s="3" t="n">
        <v>337</v>
      </c>
      <c r="V344" s="1">
        <f>IF($K344="To be purchased",COUNTIF($K$2:$K344,"To be purchased"),"")</f>
        <v/>
      </c>
    </row>
    <row r="345">
      <c r="A345" s="1" t="inlineStr">
        <is>
          <t>Mechanical parts</t>
        </is>
      </c>
      <c r="B345" s="2" t="inlineStr">
        <is>
          <t>Washer - Flat, M8</t>
        </is>
      </c>
      <c r="C345" s="2" t="inlineStr">
        <is>
          <t>16-C Washers</t>
        </is>
      </c>
      <c r="D345" s="1" t="inlineStr">
        <is>
          <t>Kaustubh</t>
        </is>
      </c>
      <c r="E345" s="1" t="n">
        <v>20</v>
      </c>
      <c r="F345" s="1" t="inlineStr">
        <is>
          <t>India</t>
        </is>
      </c>
      <c r="G345" s="1" t="n"/>
      <c r="H345" s="1" t="inlineStr">
        <is>
          <t>No</t>
        </is>
      </c>
      <c r="I345" s="1" t="n"/>
      <c r="J345" s="1" t="n"/>
      <c r="K345" s="1" t="inlineStr">
        <is>
          <t>In stock</t>
        </is>
      </c>
      <c r="L345" s="3" t="n">
        <v>16</v>
      </c>
      <c r="M345" s="4" t="b">
        <v>0</v>
      </c>
      <c r="N345" s="3" t="n">
        <v>6</v>
      </c>
      <c r="O345" s="1" t="n"/>
      <c r="P345" s="1" t="n"/>
      <c r="Q345" s="1" t="n"/>
      <c r="R345" s="1" t="n"/>
      <c r="S345" s="1" t="inlineStr">
        <is>
          <t>Mobile (travels with robot)</t>
        </is>
      </c>
      <c r="T345" s="2" t="inlineStr">
        <is>
          <t>To Be ordered from McMaster if needed Lead time 1 day</t>
        </is>
      </c>
      <c r="U345" s="3" t="n">
        <v>338</v>
      </c>
      <c r="V345" s="1">
        <f>IF($K345="To be purchased",COUNTIF($K$2:$K345,"To be purchased"),"")</f>
        <v/>
      </c>
    </row>
    <row r="346">
      <c r="A346" s="1" t="inlineStr">
        <is>
          <t>Mechanical parts</t>
        </is>
      </c>
      <c r="B346" s="2" t="inlineStr">
        <is>
          <t>Washer - Flat, M10</t>
        </is>
      </c>
      <c r="C346" s="2" t="inlineStr">
        <is>
          <t>16-C Washers</t>
        </is>
      </c>
      <c r="D346" s="1" t="inlineStr">
        <is>
          <t>Kaustubh</t>
        </is>
      </c>
      <c r="E346" s="1" t="n">
        <v>20</v>
      </c>
      <c r="F346" s="1" t="inlineStr">
        <is>
          <t>India</t>
        </is>
      </c>
      <c r="G346" s="1" t="n"/>
      <c r="H346" s="1" t="inlineStr">
        <is>
          <t>No</t>
        </is>
      </c>
      <c r="I346" s="1" t="n"/>
      <c r="J346" s="1" t="n"/>
      <c r="K346" s="1" t="inlineStr">
        <is>
          <t>In stock</t>
        </is>
      </c>
      <c r="L346" s="3" t="n">
        <v>16</v>
      </c>
      <c r="M346" s="4" t="b">
        <v>0</v>
      </c>
      <c r="N346" s="3" t="n">
        <v>6</v>
      </c>
      <c r="O346" s="1" t="n"/>
      <c r="P346" s="1" t="n"/>
      <c r="Q346" s="1" t="n"/>
      <c r="R346" s="1" t="n"/>
      <c r="S346" s="1" t="inlineStr">
        <is>
          <t>Mobile (travels with robot)</t>
        </is>
      </c>
      <c r="T346" s="2" t="inlineStr">
        <is>
          <t>To Be ordered from McMaster if needed Lead time 1 day</t>
        </is>
      </c>
      <c r="U346" s="3" t="n">
        <v>339</v>
      </c>
      <c r="V346" s="1">
        <f>IF($K346="To be purchased",COUNTIF($K$2:$K346,"To be purchased"),"")</f>
        <v/>
      </c>
    </row>
    <row r="347">
      <c r="A347" s="1" t="inlineStr">
        <is>
          <t>Mechanical parts</t>
        </is>
      </c>
      <c r="B347" s="2" t="inlineStr">
        <is>
          <t>Washer - Spring, M2</t>
        </is>
      </c>
      <c r="C347" s="2" t="inlineStr">
        <is>
          <t>16-C Washers</t>
        </is>
      </c>
      <c r="D347" s="1" t="inlineStr">
        <is>
          <t>Kaustubh</t>
        </is>
      </c>
      <c r="E347" s="1" t="n">
        <v>20</v>
      </c>
      <c r="F347" s="1" t="inlineStr">
        <is>
          <t>India</t>
        </is>
      </c>
      <c r="G347" s="1" t="n"/>
      <c r="H347" s="1" t="inlineStr">
        <is>
          <t>No</t>
        </is>
      </c>
      <c r="I347" s="1" t="n"/>
      <c r="J347" s="1" t="n"/>
      <c r="K347" s="1" t="inlineStr">
        <is>
          <t>In stock</t>
        </is>
      </c>
      <c r="L347" s="3" t="n">
        <v>16</v>
      </c>
      <c r="M347" s="4" t="b">
        <v>0</v>
      </c>
      <c r="N347" s="3" t="n">
        <v>6</v>
      </c>
      <c r="O347" s="1" t="n"/>
      <c r="P347" s="1" t="n"/>
      <c r="Q347" s="1" t="n"/>
      <c r="R347" s="1" t="n"/>
      <c r="S347" s="1" t="inlineStr">
        <is>
          <t>Mobile (travels with robot)</t>
        </is>
      </c>
      <c r="T347" s="2" t="inlineStr">
        <is>
          <t>To Be ordered from McMaster if needed Lead time 1 day</t>
        </is>
      </c>
      <c r="U347" s="3" t="n">
        <v>341</v>
      </c>
      <c r="V347" s="1">
        <f>IF($K347="To be purchased",COUNTIF($K$2:$K347,"To be purchased"),"")</f>
        <v/>
      </c>
    </row>
    <row r="348">
      <c r="A348" s="1" t="inlineStr">
        <is>
          <t>Mechanical parts</t>
        </is>
      </c>
      <c r="B348" s="2" t="inlineStr">
        <is>
          <t>Washer - Spring, M3</t>
        </is>
      </c>
      <c r="C348" s="2" t="inlineStr">
        <is>
          <t>16-C Washers</t>
        </is>
      </c>
      <c r="D348" s="1" t="inlineStr">
        <is>
          <t>Kaustubh</t>
        </is>
      </c>
      <c r="E348" s="1" t="n">
        <v>20</v>
      </c>
      <c r="F348" s="1" t="inlineStr">
        <is>
          <t>India</t>
        </is>
      </c>
      <c r="G348" s="1" t="n"/>
      <c r="H348" s="1" t="inlineStr">
        <is>
          <t>No</t>
        </is>
      </c>
      <c r="I348" s="1" t="n"/>
      <c r="J348" s="1" t="n"/>
      <c r="K348" s="1" t="inlineStr">
        <is>
          <t>In stock</t>
        </is>
      </c>
      <c r="L348" s="3" t="n">
        <v>16</v>
      </c>
      <c r="M348" s="4" t="b">
        <v>0</v>
      </c>
      <c r="N348" s="3" t="n">
        <v>6</v>
      </c>
      <c r="O348" s="1" t="n"/>
      <c r="P348" s="1" t="n"/>
      <c r="Q348" s="1" t="n"/>
      <c r="R348" s="1" t="n"/>
      <c r="S348" s="1" t="inlineStr">
        <is>
          <t>Mobile (travels with robot)</t>
        </is>
      </c>
      <c r="T348" s="2" t="inlineStr">
        <is>
          <t>To Be ordered from McMaster if needed Lead time 1 day</t>
        </is>
      </c>
      <c r="U348" s="3" t="n">
        <v>342</v>
      </c>
      <c r="V348" s="1">
        <f>IF($K348="To be purchased",COUNTIF($K$2:$K348,"To be purchased"),"")</f>
        <v/>
      </c>
    </row>
    <row r="349">
      <c r="A349" s="1" t="inlineStr">
        <is>
          <t>Bringup Kit</t>
        </is>
      </c>
      <c r="B349" s="2" t="inlineStr">
        <is>
          <t>Screw Driver kit ( With Extension)</t>
        </is>
      </c>
      <c r="C349" s="2" t="inlineStr">
        <is>
          <t>17-A Hand Tools</t>
        </is>
      </c>
      <c r="D349" s="1" t="inlineStr">
        <is>
          <t>Badri</t>
        </is>
      </c>
      <c r="E349" s="7" t="n">
        <v>1</v>
      </c>
      <c r="F349" s="1" t="inlineStr">
        <is>
          <t>India</t>
        </is>
      </c>
      <c r="G349" s="1" t="n"/>
      <c r="H349" s="1" t="inlineStr">
        <is>
          <t>No</t>
        </is>
      </c>
      <c r="I349" s="1" t="n"/>
      <c r="J349" s="1" t="n"/>
      <c r="K349" s="1" t="inlineStr">
        <is>
          <t>PR Raised</t>
        </is>
      </c>
      <c r="L349" s="3" t="n">
        <v>2</v>
      </c>
      <c r="M349" s="4" t="b">
        <v>0</v>
      </c>
      <c r="N349" s="3" t="n">
        <v>1</v>
      </c>
      <c r="O349" s="1" t="n"/>
      <c r="P349" s="1" t="n"/>
      <c r="Q349" s="1" t="n"/>
      <c r="R349" s="1" t="n"/>
      <c r="S349" s="1" t="n"/>
      <c r="T349" s="1" t="n"/>
      <c r="U349" s="1" t="n"/>
      <c r="V349" s="1" t="n"/>
    </row>
    <row r="350">
      <c r="A350" s="1" t="inlineStr">
        <is>
          <t>Mechanical parts</t>
        </is>
      </c>
      <c r="B350" s="2" t="inlineStr">
        <is>
          <t>Washer - Spring, M4</t>
        </is>
      </c>
      <c r="C350" s="2" t="inlineStr">
        <is>
          <t>16-C Washers</t>
        </is>
      </c>
      <c r="D350" s="1" t="inlineStr">
        <is>
          <t>Kaustubh</t>
        </is>
      </c>
      <c r="E350" s="1" t="n">
        <v>20</v>
      </c>
      <c r="F350" s="1" t="inlineStr">
        <is>
          <t>India</t>
        </is>
      </c>
      <c r="G350" s="1" t="n"/>
      <c r="H350" s="1" t="inlineStr">
        <is>
          <t>No</t>
        </is>
      </c>
      <c r="I350" s="5" t="n"/>
      <c r="J350" s="6">
        <f>IFERROR(HYPERLINK("https://docs.google.com/spreadsheets/d/10M8oEMfSST-xuPwcSARfQDNcQJ0xrCp8O9iHBGPAr34/edit?gid=1956219685&amp;range=A"&amp;MATCH("PR-2026-1677",'PR Lookup'!A:A,0),"PR-2026-1677"),"PR-2026-1677")</f>
        <v/>
      </c>
      <c r="K350" s="1" t="inlineStr">
        <is>
          <t>PR Raised</t>
        </is>
      </c>
      <c r="L350" s="3" t="n">
        <v>16</v>
      </c>
      <c r="M350" s="4" t="b">
        <v>0</v>
      </c>
      <c r="N350" s="3" t="n">
        <v>6</v>
      </c>
      <c r="O350" s="1" t="n"/>
      <c r="P350" s="1" t="n"/>
      <c r="Q350" s="1" t="n"/>
      <c r="R350" s="1" t="n"/>
      <c r="S350" s="1" t="inlineStr">
        <is>
          <t>Mobile (travels with robot)</t>
        </is>
      </c>
      <c r="T350" s="2" t="inlineStr">
        <is>
          <t>To Be ordered from McMaster if needed Lead time 1 day</t>
        </is>
      </c>
      <c r="U350" s="3" t="n">
        <v>343</v>
      </c>
      <c r="V350" s="1">
        <f>IF($K350="To be purchased",COUNTIF($K$2:$K350,"To be purchased"),"")</f>
        <v/>
      </c>
    </row>
    <row r="351">
      <c r="A351" s="1" t="inlineStr">
        <is>
          <t>Bringup Kit</t>
        </is>
      </c>
      <c r="B351" s="2" t="inlineStr">
        <is>
          <t>Camera - STURDeCAM25 - EOA calibration with Sparco</t>
        </is>
      </c>
      <c r="C351" s="2" t="inlineStr">
        <is>
          <t>2-E Electronics &amp; Cables</t>
        </is>
      </c>
      <c r="D351" s="1" t="inlineStr">
        <is>
          <t>Badri</t>
        </is>
      </c>
      <c r="E351" s="1" t="n">
        <v>1</v>
      </c>
      <c r="F351" s="1" t="inlineStr">
        <is>
          <t>India</t>
        </is>
      </c>
      <c r="G351" s="1" t="n"/>
      <c r="H351" s="1" t="inlineStr">
        <is>
          <t>No</t>
        </is>
      </c>
      <c r="I351" s="1" t="n"/>
      <c r="J351" s="1" t="n"/>
      <c r="K351" s="1" t="inlineStr">
        <is>
          <t>In stock</t>
        </is>
      </c>
      <c r="L351" s="3" t="n">
        <v>2</v>
      </c>
      <c r="M351" s="4" t="b">
        <v>0</v>
      </c>
      <c r="N351" s="3" t="n">
        <v>1</v>
      </c>
      <c r="O351" s="1" t="n"/>
      <c r="P351" s="1" t="n"/>
      <c r="Q351" s="1" t="n"/>
      <c r="R351" s="1" t="n"/>
      <c r="S351" s="1" t="n"/>
      <c r="T351" s="1" t="n"/>
      <c r="U351" s="1" t="n"/>
      <c r="V351" s="1" t="n"/>
    </row>
    <row r="352">
      <c r="A352" s="1" t="inlineStr">
        <is>
          <t>Mechanical parts</t>
        </is>
      </c>
      <c r="B352" s="2" t="inlineStr">
        <is>
          <t>Washer - Spring, M5</t>
        </is>
      </c>
      <c r="C352" s="2" t="inlineStr">
        <is>
          <t>16-C Washers</t>
        </is>
      </c>
      <c r="D352" s="1" t="inlineStr">
        <is>
          <t>Kaustubh</t>
        </is>
      </c>
      <c r="E352" s="1" t="n">
        <v>20</v>
      </c>
      <c r="F352" s="1" t="inlineStr">
        <is>
          <t>India</t>
        </is>
      </c>
      <c r="G352" s="1" t="n"/>
      <c r="H352" s="1" t="inlineStr">
        <is>
          <t>No</t>
        </is>
      </c>
      <c r="I352" s="5" t="n"/>
      <c r="J352" s="6">
        <f>IFERROR(HYPERLINK("https://docs.google.com/spreadsheets/d/10M8oEMfSST-xuPwcSARfQDNcQJ0xrCp8O9iHBGPAr34/edit?gid=1956219685&amp;range=A"&amp;MATCH("PR-2026-1677",'PR Lookup'!A:A,0),"PR-2026-1677"),"PR-2026-1677")</f>
        <v/>
      </c>
      <c r="K352" s="1" t="inlineStr">
        <is>
          <t>PR Raised</t>
        </is>
      </c>
      <c r="L352" s="3" t="n">
        <v>16</v>
      </c>
      <c r="M352" s="4" t="b">
        <v>0</v>
      </c>
      <c r="N352" s="3" t="n">
        <v>6</v>
      </c>
      <c r="O352" s="1" t="n"/>
      <c r="P352" s="1" t="n"/>
      <c r="Q352" s="1" t="n"/>
      <c r="R352" s="1" t="n"/>
      <c r="S352" s="1" t="inlineStr">
        <is>
          <t>Mobile (travels with robot)</t>
        </is>
      </c>
      <c r="T352" s="2" t="inlineStr">
        <is>
          <t>To Be ordered from McMaster if needed Lead time 1 day</t>
        </is>
      </c>
      <c r="U352" s="3" t="n">
        <v>344</v>
      </c>
      <c r="V352" s="1">
        <f>IF($K352="To be purchased",COUNTIF($K$2:$K352,"To be purchased"),"")</f>
        <v/>
      </c>
    </row>
    <row r="353">
      <c r="A353" s="1" t="inlineStr">
        <is>
          <t>Mechanical parts</t>
        </is>
      </c>
      <c r="B353" s="2" t="inlineStr">
        <is>
          <t>Washer - Spring, M6</t>
        </is>
      </c>
      <c r="C353" s="2" t="inlineStr">
        <is>
          <t>16-C Washers</t>
        </is>
      </c>
      <c r="D353" s="1" t="inlineStr">
        <is>
          <t>Kaustubh</t>
        </is>
      </c>
      <c r="E353" s="1" t="n">
        <v>20</v>
      </c>
      <c r="F353" s="1" t="inlineStr">
        <is>
          <t>India</t>
        </is>
      </c>
      <c r="G353" s="1" t="n"/>
      <c r="H353" s="1" t="inlineStr">
        <is>
          <t>No</t>
        </is>
      </c>
      <c r="I353" s="1" t="n"/>
      <c r="J353" s="1" t="n"/>
      <c r="K353" s="1" t="inlineStr">
        <is>
          <t>In stock</t>
        </is>
      </c>
      <c r="L353" s="3" t="n">
        <v>16</v>
      </c>
      <c r="M353" s="4" t="b">
        <v>0</v>
      </c>
      <c r="N353" s="3" t="n">
        <v>6</v>
      </c>
      <c r="O353" s="1" t="n"/>
      <c r="P353" s="1" t="n"/>
      <c r="Q353" s="1" t="n"/>
      <c r="R353" s="1" t="n"/>
      <c r="S353" s="1" t="inlineStr">
        <is>
          <t>Mobile (travels with robot)</t>
        </is>
      </c>
      <c r="T353" s="2" t="inlineStr">
        <is>
          <t>To Be ordered from McMaster if needed Lead time 1 day</t>
        </is>
      </c>
      <c r="U353" s="3" t="n">
        <v>345</v>
      </c>
      <c r="V353" s="1">
        <f>IF($K353="To be purchased",COUNTIF($K$2:$K353,"To be purchased"),"")</f>
        <v/>
      </c>
    </row>
    <row r="354">
      <c r="A354" s="1" t="inlineStr">
        <is>
          <t>Mechanical parts</t>
        </is>
      </c>
      <c r="B354" s="2" t="inlineStr">
        <is>
          <t>Washer - Spring, M8</t>
        </is>
      </c>
      <c r="C354" s="2" t="inlineStr">
        <is>
          <t>16-C Washers</t>
        </is>
      </c>
      <c r="D354" s="1" t="inlineStr">
        <is>
          <t>Kaustubh</t>
        </is>
      </c>
      <c r="E354" s="1" t="n">
        <v>20</v>
      </c>
      <c r="F354" s="1" t="inlineStr">
        <is>
          <t>India</t>
        </is>
      </c>
      <c r="G354" s="1" t="n"/>
      <c r="H354" s="1" t="inlineStr">
        <is>
          <t>No</t>
        </is>
      </c>
      <c r="I354" s="1" t="n"/>
      <c r="J354" s="1" t="n"/>
      <c r="K354" s="1" t="inlineStr">
        <is>
          <t>In stock</t>
        </is>
      </c>
      <c r="L354" s="3" t="n">
        <v>16</v>
      </c>
      <c r="M354" s="4" t="b">
        <v>0</v>
      </c>
      <c r="N354" s="3" t="n">
        <v>6</v>
      </c>
      <c r="O354" s="1" t="n"/>
      <c r="P354" s="1" t="n"/>
      <c r="Q354" s="1" t="n"/>
      <c r="R354" s="1" t="n"/>
      <c r="S354" s="1" t="inlineStr">
        <is>
          <t>Mobile (travels with robot)</t>
        </is>
      </c>
      <c r="T354" s="2" t="inlineStr">
        <is>
          <t>To Be ordered from McMaster if needed Lead time 1 day</t>
        </is>
      </c>
      <c r="U354" s="3" t="n">
        <v>346</v>
      </c>
      <c r="V354" s="1">
        <f>IF($K354="To be purchased",COUNTIF($K$2:$K354,"To be purchased"),"")</f>
        <v/>
      </c>
    </row>
    <row r="355">
      <c r="A355" s="1" t="inlineStr">
        <is>
          <t>Mechanical parts</t>
        </is>
      </c>
      <c r="B355" s="2" t="inlineStr">
        <is>
          <t>Washer - Spring, M10</t>
        </is>
      </c>
      <c r="C355" s="2" t="inlineStr">
        <is>
          <t>16-C Washers</t>
        </is>
      </c>
      <c r="D355" s="1" t="inlineStr">
        <is>
          <t>Kaustubh</t>
        </is>
      </c>
      <c r="E355" s="1" t="n">
        <v>20</v>
      </c>
      <c r="F355" s="1" t="inlineStr">
        <is>
          <t>India</t>
        </is>
      </c>
      <c r="G355" s="1" t="n"/>
      <c r="H355" s="1" t="inlineStr">
        <is>
          <t>No</t>
        </is>
      </c>
      <c r="I355" s="1" t="n"/>
      <c r="J355" s="1" t="n"/>
      <c r="K355" s="1" t="inlineStr">
        <is>
          <t>In stock</t>
        </is>
      </c>
      <c r="L355" s="3" t="n">
        <v>16</v>
      </c>
      <c r="M355" s="4" t="b">
        <v>0</v>
      </c>
      <c r="N355" s="3" t="n">
        <v>6</v>
      </c>
      <c r="O355" s="1" t="n"/>
      <c r="P355" s="1" t="n"/>
      <c r="Q355" s="1" t="n"/>
      <c r="R355" s="1" t="n"/>
      <c r="S355" s="1" t="inlineStr">
        <is>
          <t>Mobile (travels with robot)</t>
        </is>
      </c>
      <c r="T355" s="2" t="inlineStr">
        <is>
          <t>To Be ordered from McMaster if needed Lead time 1 day</t>
        </is>
      </c>
      <c r="U355" s="3" t="n">
        <v>347</v>
      </c>
      <c r="V355" s="1">
        <f>IF($K355="To be purchased",COUNTIF($K$2:$K355,"To be purchased"),"")</f>
        <v/>
      </c>
    </row>
    <row r="356">
      <c r="A356" s="1" t="inlineStr">
        <is>
          <t>Mechanical parts</t>
        </is>
      </c>
      <c r="B356" s="2" t="inlineStr">
        <is>
          <t>Nut - T-Slot / Hammer, M4 (40x40 profile)</t>
        </is>
      </c>
      <c r="C356" s="2" t="inlineStr">
        <is>
          <t>16-D T-Nuts &amp; Profile Hardware</t>
        </is>
      </c>
      <c r="D356" s="1" t="inlineStr">
        <is>
          <t>Kaustubh</t>
        </is>
      </c>
      <c r="E356" s="1" t="inlineStr">
        <is>
          <t>50</t>
        </is>
      </c>
      <c r="F356" s="1" t="inlineStr">
        <is>
          <t>India</t>
        </is>
      </c>
      <c r="G356" s="1" t="n"/>
      <c r="H356" s="1" t="inlineStr">
        <is>
          <t>No</t>
        </is>
      </c>
      <c r="I356" s="1" t="n"/>
      <c r="J356" s="6">
        <f>IFERROR(HYPERLINK("https://docs.google.com/spreadsheets/d/10M8oEMfSST-xuPwcSARfQDNcQJ0xrCp8O9iHBGPAr34/edit?gid=1956219685&amp;range=A"&amp;MATCH("PR-2026-1677",'PR Lookup'!A:A,0),"PR-2026-1677"),"PR-2026-1677")</f>
        <v/>
      </c>
      <c r="K356" s="1" t="inlineStr">
        <is>
          <t>PR Raised</t>
        </is>
      </c>
      <c r="L356" s="3" t="n">
        <v>16</v>
      </c>
      <c r="M356" s="4" t="b">
        <v>0</v>
      </c>
      <c r="N356" s="3" t="n">
        <v>6</v>
      </c>
      <c r="O356" s="1" t="n"/>
      <c r="P356" s="1" t="n"/>
      <c r="Q356" s="1" t="n"/>
      <c r="R356" s="1" t="n"/>
      <c r="S356" s="1" t="inlineStr">
        <is>
          <t>Mobile (travels with robot)</t>
        </is>
      </c>
      <c r="T356" s="1" t="n"/>
      <c r="U356" s="3" t="n">
        <v>316</v>
      </c>
      <c r="V356" s="1">
        <f>IF($K356="To be purchased",COUNTIF($K$2:$K356,"To be purchased"),"")</f>
        <v/>
      </c>
    </row>
    <row r="357">
      <c r="A357" s="1" t="inlineStr">
        <is>
          <t>Mechanical parts</t>
        </is>
      </c>
      <c r="B357" s="2" t="inlineStr">
        <is>
          <t>Nut - T-Slot / Hammer, M4 (20x20 profile)</t>
        </is>
      </c>
      <c r="C357" s="2" t="inlineStr">
        <is>
          <t>16-D T-Nuts &amp; Profile Hardware</t>
        </is>
      </c>
      <c r="D357" s="1" t="inlineStr">
        <is>
          <t>Kaustubh</t>
        </is>
      </c>
      <c r="E357" s="1" t="n">
        <v>50</v>
      </c>
      <c r="F357" s="1" t="inlineStr">
        <is>
          <t>India</t>
        </is>
      </c>
      <c r="G357" s="1" t="n"/>
      <c r="H357" s="1" t="inlineStr">
        <is>
          <t>No</t>
        </is>
      </c>
      <c r="I357" s="1" t="n"/>
      <c r="J357" s="6">
        <f>IFERROR(HYPERLINK("https://docs.google.com/spreadsheets/d/10M8oEMfSST-xuPwcSARfQDNcQJ0xrCp8O9iHBGPAr34/edit?gid=1956219685&amp;range=A"&amp;MATCH("PR-2026-1677",'PR Lookup'!A:A,0),"PR-2026-1677"),"PR-2026-1677")</f>
        <v/>
      </c>
      <c r="K357" s="1" t="inlineStr">
        <is>
          <t>PR Raised</t>
        </is>
      </c>
      <c r="L357" s="3" t="n">
        <v>16</v>
      </c>
      <c r="M357" s="4" t="b">
        <v>0</v>
      </c>
      <c r="N357" s="3" t="n">
        <v>6</v>
      </c>
      <c r="O357" s="1" t="n"/>
      <c r="P357" s="1" t="n"/>
      <c r="Q357" s="1" t="n"/>
      <c r="R357" s="1" t="n"/>
      <c r="S357" s="1" t="inlineStr">
        <is>
          <t>Mobile (travels with robot)</t>
        </is>
      </c>
      <c r="T357" s="1" t="n"/>
      <c r="U357" s="3" t="n">
        <v>317</v>
      </c>
      <c r="V357" s="1">
        <f>IF($K357="To be purchased",COUNTIF($K$2:$K357,"To be purchased"),"")</f>
        <v/>
      </c>
    </row>
    <row r="358">
      <c r="A358" s="1" t="inlineStr">
        <is>
          <t>Mechanical parts</t>
        </is>
      </c>
      <c r="B358" s="2" t="inlineStr">
        <is>
          <t>Mount - Drag Chain, Front</t>
        </is>
      </c>
      <c r="C358" s="2" t="inlineStr">
        <is>
          <t>16-E Brackets &amp; Mounts</t>
        </is>
      </c>
      <c r="D358" s="1" t="inlineStr">
        <is>
          <t>Kaustubh</t>
        </is>
      </c>
      <c r="E358" s="1" t="n"/>
      <c r="F358" s="1" t="inlineStr">
        <is>
          <t>India</t>
        </is>
      </c>
      <c r="G358" s="1" t="n"/>
      <c r="H358" s="1" t="inlineStr">
        <is>
          <t>No</t>
        </is>
      </c>
      <c r="I358" s="1" t="n"/>
      <c r="J358" s="1" t="n"/>
      <c r="K358" s="1" t="inlineStr">
        <is>
          <t>To be Printed</t>
        </is>
      </c>
      <c r="L358" s="3" t="n">
        <v>16</v>
      </c>
      <c r="M358" s="4" t="b">
        <v>0</v>
      </c>
      <c r="N358" s="3" t="n">
        <v>6</v>
      </c>
      <c r="O358" s="1" t="n"/>
      <c r="P358" s="1" t="n"/>
      <c r="Q358" s="1" t="n"/>
      <c r="R358" s="1" t="n"/>
      <c r="S358" s="1" t="inlineStr">
        <is>
          <t>Mobile (travels with robot)</t>
        </is>
      </c>
      <c r="T358" s="1" t="n"/>
      <c r="U358" s="3" t="n">
        <v>108</v>
      </c>
      <c r="V358" s="1">
        <f>IF($K358="To be purchased",COUNTIF($K$2:$K358,"To be purchased"),"")</f>
        <v/>
      </c>
    </row>
    <row r="359">
      <c r="A359" s="1" t="inlineStr">
        <is>
          <t>Mechanical parts</t>
        </is>
      </c>
      <c r="B359" s="2" t="inlineStr">
        <is>
          <t>Bracket - Wheel Locking, Diagonal - tool sprayer</t>
        </is>
      </c>
      <c r="C359" s="2" t="inlineStr">
        <is>
          <t>16-E Brackets &amp; Mounts</t>
        </is>
      </c>
      <c r="D359" s="1" t="inlineStr">
        <is>
          <t>Kaustubh</t>
        </is>
      </c>
      <c r="E359" s="1" t="inlineStr">
        <is>
          <t>6</t>
        </is>
      </c>
      <c r="F359" s="1" t="inlineStr">
        <is>
          <t>India</t>
        </is>
      </c>
      <c r="G359" s="1" t="n"/>
      <c r="H359" s="1" t="inlineStr">
        <is>
          <t>No</t>
        </is>
      </c>
      <c r="I359" s="5" t="n"/>
      <c r="J359" s="6">
        <f>IFERROR(HYPERLINK("https://docs.google.com/spreadsheets/d/10M8oEMfSST-xuPwcSARfQDNcQJ0xrCp8O9iHBGPAr34/edit?gid=1956219685&amp;range=A"&amp;MATCH("PR-2026-1638",'PR Lookup'!A:A,0),"PR-2026-1638"),"PR-2026-1638")</f>
        <v/>
      </c>
      <c r="K359" s="1" t="inlineStr">
        <is>
          <t>PR Raised</t>
        </is>
      </c>
      <c r="L359" s="3" t="n">
        <v>16</v>
      </c>
      <c r="M359" s="4" t="b">
        <v>0</v>
      </c>
      <c r="N359" s="3" t="n">
        <v>6</v>
      </c>
      <c r="O359" s="1" t="n"/>
      <c r="P359" s="1" t="n"/>
      <c r="Q359" s="1" t="n"/>
      <c r="R359" s="1" t="n"/>
      <c r="S359" s="1" t="n"/>
      <c r="T359" s="1" t="n"/>
      <c r="U359" s="3" t="n">
        <v>578</v>
      </c>
      <c r="V359" s="1">
        <f>IF($K359="To be purchased",COUNTIF($K$2:$K359,"To be purchased"),"")</f>
        <v/>
      </c>
    </row>
    <row r="360">
      <c r="A360" s="1" t="inlineStr">
        <is>
          <t>Mechanical parts</t>
        </is>
      </c>
      <c r="B360" s="2" t="inlineStr">
        <is>
          <t>Clip - Bumper (3D printed)</t>
        </is>
      </c>
      <c r="C360" s="2" t="inlineStr">
        <is>
          <t>16-F Printed &amp; Machined Parts</t>
        </is>
      </c>
      <c r="D360" s="1" t="inlineStr">
        <is>
          <t>Kaustubh</t>
        </is>
      </c>
      <c r="E360" s="1" t="inlineStr">
        <is>
          <t>10</t>
        </is>
      </c>
      <c r="F360" s="1" t="inlineStr">
        <is>
          <t>Buy in US</t>
        </is>
      </c>
      <c r="G360" s="1" t="n"/>
      <c r="H360" s="1" t="inlineStr">
        <is>
          <t>No</t>
        </is>
      </c>
      <c r="I360" s="1" t="n"/>
      <c r="J360" s="1" t="n"/>
      <c r="K360" s="1" t="inlineStr">
        <is>
          <t>To be Printed</t>
        </is>
      </c>
      <c r="L360" s="3" t="n">
        <v>16</v>
      </c>
      <c r="M360" s="4" t="b">
        <v>0</v>
      </c>
      <c r="N360" s="3" t="n">
        <v>6</v>
      </c>
      <c r="O360" s="1" t="n"/>
      <c r="P360" s="1" t="n"/>
      <c r="Q360" s="1" t="n"/>
      <c r="R360" s="1" t="n"/>
      <c r="S360" s="1" t="inlineStr">
        <is>
          <t>Mobile (travels with robot)</t>
        </is>
      </c>
      <c r="T360" s="2" t="inlineStr">
        <is>
          <t>3D printed when needed</t>
        </is>
      </c>
      <c r="U360" s="3" t="n">
        <v>102</v>
      </c>
      <c r="V360" s="1">
        <f>IF($K360="To be purchased",COUNTIF($K$2:$K360,"To be purchased"),"")</f>
        <v/>
      </c>
    </row>
    <row r="361">
      <c r="A361" s="1" t="inlineStr">
        <is>
          <t>Mechanical parts</t>
        </is>
      </c>
      <c r="B361" s="2" t="inlineStr">
        <is>
          <t>Clip - Hose (3D printed)</t>
        </is>
      </c>
      <c r="C361" s="2" t="inlineStr">
        <is>
          <t>16-F Printed &amp; Machined Parts</t>
        </is>
      </c>
      <c r="D361" s="1" t="inlineStr">
        <is>
          <t>Kaustubh</t>
        </is>
      </c>
      <c r="E361" s="1" t="inlineStr">
        <is>
          <t>2</t>
        </is>
      </c>
      <c r="F361" s="1" t="inlineStr">
        <is>
          <t>Buy in US</t>
        </is>
      </c>
      <c r="G361" s="1" t="n"/>
      <c r="H361" s="1" t="inlineStr">
        <is>
          <t>No</t>
        </is>
      </c>
      <c r="I361" s="1" t="n"/>
      <c r="J361" s="1" t="n"/>
      <c r="K361" s="1" t="inlineStr">
        <is>
          <t>To be Printed</t>
        </is>
      </c>
      <c r="L361" s="3" t="n">
        <v>16</v>
      </c>
      <c r="M361" s="4" t="b">
        <v>0</v>
      </c>
      <c r="N361" s="3" t="n">
        <v>6</v>
      </c>
      <c r="O361" s="1" t="n"/>
      <c r="P361" s="1" t="n"/>
      <c r="Q361" s="1" t="n"/>
      <c r="R361" s="1" t="n"/>
      <c r="S361" s="1" t="inlineStr">
        <is>
          <t>Mobile (travels with robot)</t>
        </is>
      </c>
      <c r="T361" s="1" t="n"/>
      <c r="U361" s="3" t="n">
        <v>106</v>
      </c>
      <c r="V361" s="1">
        <f>IF($K361="To be purchased",COUNTIF($K$2:$K361,"To be purchased"),"")</f>
        <v/>
      </c>
    </row>
    <row r="362">
      <c r="A362" s="1" t="inlineStr">
        <is>
          <t>Mechanical parts</t>
        </is>
      </c>
      <c r="B362" s="2" t="inlineStr">
        <is>
          <t>Attachment - Tool Interaction Hose Routing (3D printed)</t>
        </is>
      </c>
      <c r="C362" s="2" t="inlineStr">
        <is>
          <t>16-F Printed &amp; Machined Parts</t>
        </is>
      </c>
      <c r="D362" s="1" t="inlineStr">
        <is>
          <t>Kaustubh</t>
        </is>
      </c>
      <c r="E362" s="1" t="inlineStr">
        <is>
          <t>2</t>
        </is>
      </c>
      <c r="F362" s="1" t="inlineStr">
        <is>
          <t>India</t>
        </is>
      </c>
      <c r="G362" s="1" t="n"/>
      <c r="H362" s="1" t="inlineStr">
        <is>
          <t>No</t>
        </is>
      </c>
      <c r="I362" s="1" t="n"/>
      <c r="J362" s="1" t="n"/>
      <c r="K362" s="1" t="inlineStr">
        <is>
          <t>To be Printed</t>
        </is>
      </c>
      <c r="L362" s="3" t="n">
        <v>16</v>
      </c>
      <c r="M362" s="4" t="b">
        <v>0</v>
      </c>
      <c r="N362" s="3" t="n">
        <v>6</v>
      </c>
      <c r="O362" s="1" t="n"/>
      <c r="P362" s="1" t="n"/>
      <c r="Q362" s="1" t="n"/>
      <c r="R362" s="1" t="n"/>
      <c r="S362" s="1" t="inlineStr">
        <is>
          <t>NY Stationary (stays in NY inventory)</t>
        </is>
      </c>
      <c r="T362" s="1" t="n"/>
      <c r="U362" s="3" t="n">
        <v>110</v>
      </c>
      <c r="V362" s="1">
        <f>IF($K362="To be purchased",COUNTIF($K$2:$K362,"To be purchased"),"")</f>
        <v/>
      </c>
    </row>
    <row r="363">
      <c r="A363" s="1" t="inlineStr">
        <is>
          <t>Mechanical parts</t>
        </is>
      </c>
      <c r="B363" s="2" t="inlineStr">
        <is>
          <t>Mount - Perception Lights (3D printed)</t>
        </is>
      </c>
      <c r="C363" s="2" t="inlineStr">
        <is>
          <t>16-F Printed &amp; Machined Parts</t>
        </is>
      </c>
      <c r="D363" s="1" t="inlineStr">
        <is>
          <t>Kaustubh</t>
        </is>
      </c>
      <c r="E363" s="1" t="inlineStr">
        <is>
          <t>2</t>
        </is>
      </c>
      <c r="F363" s="1" t="inlineStr">
        <is>
          <t>India</t>
        </is>
      </c>
      <c r="G363" s="1" t="n"/>
      <c r="H363" s="1" t="inlineStr">
        <is>
          <t>No</t>
        </is>
      </c>
      <c r="I363" s="1" t="n"/>
      <c r="J363" s="1" t="n"/>
      <c r="K363" s="1" t="inlineStr">
        <is>
          <t>To be Printed</t>
        </is>
      </c>
      <c r="L363" s="3" t="n">
        <v>16</v>
      </c>
      <c r="M363" s="4" t="b">
        <v>0</v>
      </c>
      <c r="N363" s="3" t="n">
        <v>6</v>
      </c>
      <c r="O363" s="1" t="n"/>
      <c r="P363" s="1" t="n"/>
      <c r="Q363" s="1" t="n"/>
      <c r="R363" s="1" t="n"/>
      <c r="S363" s="1" t="inlineStr">
        <is>
          <t>NY Stationary (stays in NY inventory)</t>
        </is>
      </c>
      <c r="T363" s="1" t="n"/>
      <c r="U363" s="3" t="n">
        <v>115</v>
      </c>
      <c r="V363" s="1">
        <f>IF($K363="To be purchased",COUNTIF($K$2:$K363,"To be purchased"),"")</f>
        <v/>
      </c>
    </row>
    <row r="364">
      <c r="A364" s="1" t="inlineStr">
        <is>
          <t>Mechanical parts</t>
        </is>
      </c>
      <c r="B364" s="2" t="inlineStr">
        <is>
          <t>Machined Part - D1 Spec, D1S-015</t>
        </is>
      </c>
      <c r="C364" s="2" t="inlineStr">
        <is>
          <t>16-F Printed &amp; Machined Parts</t>
        </is>
      </c>
      <c r="D364" s="1" t="inlineStr">
        <is>
          <t>SANKALP</t>
        </is>
      </c>
      <c r="E364" s="1" t="inlineStr">
        <is>
          <t>1</t>
        </is>
      </c>
      <c r="F364" s="1" t="inlineStr">
        <is>
          <t>India</t>
        </is>
      </c>
      <c r="G364" s="1" t="n"/>
      <c r="H364" s="1" t="inlineStr">
        <is>
          <t>No</t>
        </is>
      </c>
      <c r="I364" s="1" t="n"/>
      <c r="J364" s="1" t="n"/>
      <c r="K364" s="1" t="inlineStr">
        <is>
          <t>In stock</t>
        </is>
      </c>
      <c r="L364" s="3" t="n">
        <v>16</v>
      </c>
      <c r="M364" s="4" t="b">
        <v>0</v>
      </c>
      <c r="N364" s="3" t="n">
        <v>6</v>
      </c>
      <c r="O364" s="1" t="n"/>
      <c r="P364" s="1" t="n"/>
      <c r="Q364" s="1" t="n"/>
      <c r="R364" s="1" t="n"/>
      <c r="S364" s="1" t="n"/>
      <c r="T364" s="2" t="inlineStr">
        <is>
          <t>grouping auto-assigned - please verify.</t>
        </is>
      </c>
      <c r="U364" s="3" t="n">
        <v>419</v>
      </c>
      <c r="V364" s="1">
        <f>IF($K364="To be purchased",COUNTIF($K$2:$K364,"To be purchased"),"")</f>
        <v/>
      </c>
    </row>
    <row r="365">
      <c r="A365" s="1" t="inlineStr">
        <is>
          <t>Mechanical parts</t>
        </is>
      </c>
      <c r="B365" s="2" t="inlineStr">
        <is>
          <t>Mount - D1 Spec (3D printed)</t>
        </is>
      </c>
      <c r="C365" s="2" t="inlineStr">
        <is>
          <t>16-F Printed &amp; Machined Parts</t>
        </is>
      </c>
      <c r="D365" s="1" t="inlineStr">
        <is>
          <t>SANKALP</t>
        </is>
      </c>
      <c r="E365" s="1" t="inlineStr">
        <is>
          <t>1</t>
        </is>
      </c>
      <c r="F365" s="1" t="inlineStr">
        <is>
          <t>India</t>
        </is>
      </c>
      <c r="G365" s="1" t="n"/>
      <c r="H365" s="1" t="inlineStr">
        <is>
          <t>No</t>
        </is>
      </c>
      <c r="I365" s="1" t="n"/>
      <c r="J365" s="1" t="n"/>
      <c r="K365" s="1" t="inlineStr">
        <is>
          <t>To be Printed</t>
        </is>
      </c>
      <c r="L365" s="3" t="n">
        <v>16</v>
      </c>
      <c r="M365" s="4" t="b">
        <v>0</v>
      </c>
      <c r="N365" s="3" t="n">
        <v>6</v>
      </c>
      <c r="O365" s="1" t="n"/>
      <c r="P365" s="1" t="n"/>
      <c r="Q365" s="1" t="inlineStr">
        <is>
          <t>D1 SPEC PROFILE MOUNT.step</t>
        </is>
      </c>
      <c r="R365" s="1" t="n"/>
      <c r="S365" s="1" t="n"/>
      <c r="T365" s="1" t="n"/>
      <c r="U365" s="3" t="n">
        <v>423</v>
      </c>
      <c r="V365" s="1">
        <f>IF($K365="To be purchased",COUNTIF($K$2:$K365,"To be purchased"),"")</f>
        <v/>
      </c>
    </row>
    <row r="366">
      <c r="A366" s="1" t="inlineStr">
        <is>
          <t>Mechanical parts</t>
        </is>
      </c>
      <c r="B366" s="2" t="inlineStr">
        <is>
          <t>Hose - Mirka Vacuum, 8 m, MIN6519211</t>
        </is>
      </c>
      <c r="C366" s="2" t="inlineStr">
        <is>
          <t>16-H Hoses &amp; Fittings</t>
        </is>
      </c>
      <c r="D366" s="1" t="inlineStr">
        <is>
          <t>SANKALP</t>
        </is>
      </c>
      <c r="E366" s="1" t="inlineStr">
        <is>
          <t>1</t>
        </is>
      </c>
      <c r="F366" s="1" t="inlineStr">
        <is>
          <t>Buy in US</t>
        </is>
      </c>
      <c r="G366" s="1" t="n"/>
      <c r="H366" s="1" t="inlineStr">
        <is>
          <t>No</t>
        </is>
      </c>
      <c r="I366" s="1" t="n"/>
      <c r="J366" s="1" t="n"/>
      <c r="K366" s="1" t="inlineStr">
        <is>
          <t>To be purchased</t>
        </is>
      </c>
      <c r="L366" s="3" t="n">
        <v>16</v>
      </c>
      <c r="M366" s="4" t="b">
        <v>0</v>
      </c>
      <c r="N366" s="3" t="n">
        <v>6</v>
      </c>
      <c r="O366" s="1" t="n"/>
      <c r="P366" s="1" t="n"/>
      <c r="Q366" s="1" t="n"/>
      <c r="R366" s="1" t="n"/>
      <c r="S366" s="1" t="n"/>
      <c r="T366" s="2" t="inlineStr">
        <is>
          <t>MAY BE REQUIRED</t>
        </is>
      </c>
      <c r="U366" s="3" t="n">
        <v>417</v>
      </c>
      <c r="V366" s="3">
        <f>IF($K366="To be purchased",COUNTIF($K$2:$K366,"To be purchased"),"")</f>
        <v/>
      </c>
    </row>
    <row r="367">
      <c r="A367" s="1" t="inlineStr">
        <is>
          <t>Mechanical parts</t>
        </is>
      </c>
      <c r="B367" s="2" t="inlineStr">
        <is>
          <t>Adapter - Mirka Hose (3D printed)</t>
        </is>
      </c>
      <c r="C367" s="2" t="inlineStr">
        <is>
          <t>16-H Hoses &amp; Fittings</t>
        </is>
      </c>
      <c r="D367" s="1" t="inlineStr">
        <is>
          <t>SANKALP</t>
        </is>
      </c>
      <c r="E367" s="1" t="inlineStr">
        <is>
          <t>2</t>
        </is>
      </c>
      <c r="F367" s="1" t="inlineStr">
        <is>
          <t>India</t>
        </is>
      </c>
      <c r="G367" s="1" t="n"/>
      <c r="H367" s="1" t="inlineStr">
        <is>
          <t>No</t>
        </is>
      </c>
      <c r="I367" s="1" t="n"/>
      <c r="J367" s="1" t="n"/>
      <c r="K367" s="1" t="inlineStr">
        <is>
          <t>To be Printed</t>
        </is>
      </c>
      <c r="L367" s="3" t="n">
        <v>16</v>
      </c>
      <c r="M367" s="4" t="b">
        <v>0</v>
      </c>
      <c r="N367" s="3" t="n">
        <v>6</v>
      </c>
      <c r="O367" s="1" t="n"/>
      <c r="P367" s="1" t="n"/>
      <c r="Q367" s="1" t="inlineStr">
        <is>
          <t>MIRKA HOSE ADAPTER.step</t>
        </is>
      </c>
      <c r="R367" s="1" t="n"/>
      <c r="S367" s="1" t="n"/>
      <c r="T367" s="1" t="n"/>
      <c r="U367" s="3" t="n">
        <v>440</v>
      </c>
      <c r="V367" s="1">
        <f>IF($K367="To be purchased",COUNTIF($K$2:$K367,"To be purchased"),"")</f>
        <v/>
      </c>
    </row>
    <row r="368">
      <c r="A368" s="1" t="inlineStr">
        <is>
          <t>Mechanical parts</t>
        </is>
      </c>
      <c r="B368" s="2" t="inlineStr">
        <is>
          <t>Magnet - Neodymium, 50 x 25 x 12.5 mm(Sander+Sprayer)</t>
        </is>
      </c>
      <c r="C368" s="2" t="inlineStr">
        <is>
          <t>16-J Springs &amp; Magnets</t>
        </is>
      </c>
      <c r="D368" s="1" t="inlineStr">
        <is>
          <t>Anand</t>
        </is>
      </c>
      <c r="E368" s="1" t="n">
        <v>5</v>
      </c>
      <c r="F368" s="1" t="inlineStr">
        <is>
          <t>India</t>
        </is>
      </c>
      <c r="G368" s="1" t="n"/>
      <c r="H368" s="1" t="inlineStr">
        <is>
          <t>No</t>
        </is>
      </c>
      <c r="I368" s="1" t="n"/>
      <c r="J368" s="1" t="n"/>
      <c r="K368" s="1" t="inlineStr">
        <is>
          <t>In stock</t>
        </is>
      </c>
      <c r="L368" s="3" t="n">
        <v>16</v>
      </c>
      <c r="M368" s="4" t="b">
        <v>0</v>
      </c>
      <c r="N368" s="3" t="n">
        <v>6</v>
      </c>
      <c r="O368" s="1" t="n"/>
      <c r="P368" s="1" t="n"/>
      <c r="Q368" s="1" t="n"/>
      <c r="R368" s="1" t="n"/>
      <c r="S368" s="1" t="n"/>
      <c r="T368" s="1" t="inlineStr">
        <is>
          <t>Merged duplicate with sankalp.</t>
        </is>
      </c>
      <c r="U368" s="3" t="n">
        <v>409</v>
      </c>
      <c r="V368" s="1">
        <f>IF($K368="To be purchased",COUNTIF($K$2:$K368,"To be purchased"),"")</f>
        <v/>
      </c>
    </row>
    <row r="369">
      <c r="A369" s="1" t="inlineStr">
        <is>
          <t>Mechanical parts</t>
        </is>
      </c>
      <c r="B369" s="2" t="inlineStr">
        <is>
          <t>Bucket Compartment Dampers</t>
        </is>
      </c>
      <c r="C369" s="2" t="inlineStr">
        <is>
          <t>16-J Springs &amp; Magnets</t>
        </is>
      </c>
      <c r="D369" s="1" t="inlineStr">
        <is>
          <t>Anand</t>
        </is>
      </c>
      <c r="E369" s="1" t="n">
        <v>6</v>
      </c>
      <c r="F369" s="1" t="inlineStr">
        <is>
          <t>India</t>
        </is>
      </c>
      <c r="G369" s="1" t="n"/>
      <c r="H369" s="1" t="inlineStr">
        <is>
          <t>No</t>
        </is>
      </c>
      <c r="I369" s="1" t="n"/>
      <c r="J369" s="1" t="n"/>
      <c r="K369" s="1" t="inlineStr">
        <is>
          <t>In stock</t>
        </is>
      </c>
      <c r="L369" s="3" t="n">
        <v>16</v>
      </c>
      <c r="M369" s="4" t="b">
        <v>0</v>
      </c>
      <c r="N369" s="3" t="n">
        <v>6</v>
      </c>
      <c r="O369" s="1" t="n"/>
      <c r="P369" s="1" t="n"/>
      <c r="Q369" s="1" t="n"/>
      <c r="R369" s="1" t="n"/>
      <c r="S369" s="1" t="n"/>
      <c r="T369" s="1" t="n"/>
      <c r="U369" s="1" t="n"/>
      <c r="V369" s="1">
        <f>IF($K369="To be purchased",COUNTIF($K$2:$K369,"To be purchased"),"")</f>
        <v/>
      </c>
    </row>
    <row r="370">
      <c r="A370" s="1" t="inlineStr">
        <is>
          <t>Mechanical parts</t>
        </is>
      </c>
      <c r="B370" s="2" t="inlineStr">
        <is>
          <t>Bumper - AE-68, with connector wire and end cap</t>
        </is>
      </c>
      <c r="C370" s="2" t="inlineStr">
        <is>
          <t>16-K Bumpers, Trim &amp; Seals</t>
        </is>
      </c>
      <c r="D370" s="1" t="inlineStr">
        <is>
          <t>Badri</t>
        </is>
      </c>
      <c r="E370" s="7" t="n">
        <v>5</v>
      </c>
      <c r="F370" s="1" t="inlineStr">
        <is>
          <t>India</t>
        </is>
      </c>
      <c r="G370" s="1" t="n"/>
      <c r="H370" s="1" t="inlineStr">
        <is>
          <t>No</t>
        </is>
      </c>
      <c r="I370" s="1" t="n"/>
      <c r="J370" s="1" t="n"/>
      <c r="K370" s="1" t="inlineStr">
        <is>
          <t>PR Raised</t>
        </is>
      </c>
      <c r="L370" s="3" t="n">
        <v>16</v>
      </c>
      <c r="M370" s="4" t="b">
        <v>0</v>
      </c>
      <c r="N370" s="3" t="n">
        <v>6</v>
      </c>
      <c r="O370" s="1" t="n"/>
      <c r="P370" s="1" t="n"/>
      <c r="Q370" s="1" t="n"/>
      <c r="R370" s="1" t="n"/>
      <c r="S370" s="1" t="inlineStr">
        <is>
          <t>NY Stationary (stays in NY inventory)</t>
        </is>
      </c>
      <c r="T370" s="1" t="n"/>
      <c r="U370" s="3" t="n">
        <v>53</v>
      </c>
      <c r="V370" s="1">
        <f>IF($K370="To be purchased",COUNTIF($K$2:$K370,"To be purchased"),"")</f>
        <v/>
      </c>
    </row>
    <row r="371">
      <c r="A371" s="1" t="inlineStr">
        <is>
          <t>Mechanical parts</t>
        </is>
      </c>
      <c r="B371" s="2" t="inlineStr">
        <is>
          <t>Gasket - Door Rubber Profile, MFT 002B</t>
        </is>
      </c>
      <c r="C371" s="2" t="inlineStr">
        <is>
          <t>16-K Bumpers, Trim &amp; Seals</t>
        </is>
      </c>
      <c r="D371" s="1" t="inlineStr">
        <is>
          <t>Kaustubh</t>
        </is>
      </c>
      <c r="E371" s="1" t="inlineStr">
        <is>
          <t>3m</t>
        </is>
      </c>
      <c r="F371" s="1" t="inlineStr">
        <is>
          <t>India</t>
        </is>
      </c>
      <c r="G371" s="1" t="n"/>
      <c r="H371" s="1" t="inlineStr">
        <is>
          <t>No</t>
        </is>
      </c>
      <c r="I371" s="5" t="n"/>
      <c r="J371" s="6">
        <f>IFERROR(HYPERLINK("https://docs.google.com/spreadsheets/d/10M8oEMfSST-xuPwcSARfQDNcQJ0xrCp8O9iHBGPAr34/edit?gid=1956219685&amp;range=A"&amp;MATCH("PR-2026-1652",'PR Lookup'!A:A,0),"PR-2026-1652"),"PR-2026-1652")</f>
        <v/>
      </c>
      <c r="K371" s="1" t="inlineStr">
        <is>
          <t>PR Raised</t>
        </is>
      </c>
      <c r="L371" s="3" t="n">
        <v>16</v>
      </c>
      <c r="M371" s="4" t="b">
        <v>0</v>
      </c>
      <c r="N371" s="3" t="n">
        <v>6</v>
      </c>
      <c r="O371" s="1" t="n"/>
      <c r="P371" s="1" t="n"/>
      <c r="Q371" s="1" t="n"/>
      <c r="R371" s="1" t="n"/>
      <c r="S371" s="1" t="inlineStr">
        <is>
          <t>Mobile (travels with robot)</t>
        </is>
      </c>
      <c r="T371" s="1" t="n"/>
      <c r="U371" s="3" t="n">
        <v>104</v>
      </c>
      <c r="V371" s="1">
        <f>IF($K371="To be purchased",COUNTIF($K$2:$K371,"To be purchased"),"")</f>
        <v/>
      </c>
    </row>
    <row r="372">
      <c r="A372" s="1" t="inlineStr">
        <is>
          <t>Mechanical parts</t>
        </is>
      </c>
      <c r="B372" s="2" t="inlineStr">
        <is>
          <t>Rubber Band</t>
        </is>
      </c>
      <c r="C372" s="2" t="inlineStr">
        <is>
          <t>16-M Misc Hardware</t>
        </is>
      </c>
      <c r="D372" s="1" t="inlineStr">
        <is>
          <t>Kaustubh</t>
        </is>
      </c>
      <c r="E372" s="1" t="inlineStr">
        <is>
          <t>10</t>
        </is>
      </c>
      <c r="F372" s="1" t="inlineStr">
        <is>
          <t>India</t>
        </is>
      </c>
      <c r="G372" s="1" t="n"/>
      <c r="H372" s="1" t="inlineStr">
        <is>
          <t>No</t>
        </is>
      </c>
      <c r="I372" s="1" t="n"/>
      <c r="J372" s="1" t="n"/>
      <c r="K372" s="1" t="inlineStr">
        <is>
          <t>In stock</t>
        </is>
      </c>
      <c r="L372" s="3" t="n">
        <v>16</v>
      </c>
      <c r="M372" s="4" t="b">
        <v>0</v>
      </c>
      <c r="N372" s="3" t="n">
        <v>6</v>
      </c>
      <c r="O372" s="1" t="n"/>
      <c r="P372" s="1" t="n"/>
      <c r="Q372" s="1" t="n"/>
      <c r="R372" s="1" t="n"/>
      <c r="S372" s="1" t="inlineStr">
        <is>
          <t>Mobile (travels with robot)</t>
        </is>
      </c>
      <c r="T372" s="1" t="n"/>
      <c r="U372" s="3" t="n">
        <v>103</v>
      </c>
      <c r="V372" s="1">
        <f>IF($K372="To be purchased",COUNTIF($K$2:$K372,"To be purchased"),"")</f>
        <v/>
      </c>
    </row>
    <row r="373">
      <c r="A373" s="1" t="inlineStr">
        <is>
          <t>Mechanical parts</t>
        </is>
      </c>
      <c r="B373" s="2" t="inlineStr">
        <is>
          <t>Key - Door, 8 mm Triangular Socket</t>
        </is>
      </c>
      <c r="C373" s="2" t="inlineStr">
        <is>
          <t>16-M Misc Hardware</t>
        </is>
      </c>
      <c r="D373" s="1" t="inlineStr">
        <is>
          <t>Kaustubh</t>
        </is>
      </c>
      <c r="E373" s="1" t="inlineStr">
        <is>
          <t>2</t>
        </is>
      </c>
      <c r="F373" s="1" t="inlineStr">
        <is>
          <t>India</t>
        </is>
      </c>
      <c r="G373" s="1" t="n"/>
      <c r="H373" s="1" t="inlineStr">
        <is>
          <t>No</t>
        </is>
      </c>
      <c r="I373" s="1" t="n"/>
      <c r="J373" s="1" t="n"/>
      <c r="K373" s="1" t="inlineStr">
        <is>
          <t>In stock</t>
        </is>
      </c>
      <c r="L373" s="3" t="n">
        <v>16</v>
      </c>
      <c r="M373" s="4" t="b">
        <v>0</v>
      </c>
      <c r="N373" s="3" t="n">
        <v>6</v>
      </c>
      <c r="O373" s="1" t="n"/>
      <c r="P373" s="1" t="n"/>
      <c r="Q373" s="1" t="n"/>
      <c r="R373" s="1" t="n"/>
      <c r="S373" s="1" t="inlineStr">
        <is>
          <t>Mobile (travels with robot)</t>
        </is>
      </c>
      <c r="T373" s="1" t="n"/>
      <c r="U373" s="3" t="n">
        <v>112</v>
      </c>
      <c r="V373" s="1">
        <f>IF($K373="To be purchased",COUNTIF($K$2:$K373,"To be purchased"),"")</f>
        <v/>
      </c>
    </row>
    <row r="374">
      <c r="A374" s="1" t="inlineStr">
        <is>
          <t>Mechanical parts</t>
        </is>
      </c>
      <c r="B374" s="2" t="inlineStr">
        <is>
          <t>Sheet - Light Diffuser</t>
        </is>
      </c>
      <c r="C374" s="2" t="inlineStr">
        <is>
          <t>16-M Misc Hardware</t>
        </is>
      </c>
      <c r="D374" s="1" t="inlineStr">
        <is>
          <t>Kaustubh</t>
        </is>
      </c>
      <c r="E374" s="1" t="inlineStr">
        <is>
          <t>2</t>
        </is>
      </c>
      <c r="F374" s="1" t="inlineStr">
        <is>
          <t>India</t>
        </is>
      </c>
      <c r="G374" s="1" t="n"/>
      <c r="H374" s="1" t="inlineStr">
        <is>
          <t>No</t>
        </is>
      </c>
      <c r="I374" s="1" t="n"/>
      <c r="J374" s="1" t="n"/>
      <c r="K374" s="1" t="inlineStr">
        <is>
          <t>In stock</t>
        </is>
      </c>
      <c r="L374" s="3" t="n">
        <v>16</v>
      </c>
      <c r="M374" s="4" t="b">
        <v>0</v>
      </c>
      <c r="N374" s="3" t="n">
        <v>6</v>
      </c>
      <c r="O374" s="1" t="n"/>
      <c r="P374" s="1" t="n"/>
      <c r="Q374" s="1" t="n"/>
      <c r="R374" s="1" t="n"/>
      <c r="S374" s="1" t="inlineStr">
        <is>
          <t>NY Stationary (stays in NY inventory)</t>
        </is>
      </c>
      <c r="T374" s="1" t="n"/>
      <c r="U374" s="3" t="n">
        <v>113</v>
      </c>
      <c r="V374" s="1">
        <f>IF($K374="To be purchased",COUNTIF($K$2:$K374,"To be purchased"),"")</f>
        <v/>
      </c>
    </row>
    <row r="375">
      <c r="A375" s="1" t="inlineStr">
        <is>
          <t>Mechanical parts</t>
        </is>
      </c>
      <c r="B375" s="2" t="inlineStr">
        <is>
          <t>Carabiner - Snap Link Hook, Zinc-Galvanized Steel, 80 x 8 mm</t>
        </is>
      </c>
      <c r="C375" s="2" t="inlineStr">
        <is>
          <t>16-M Misc Hardware</t>
        </is>
      </c>
      <c r="D375" s="1" t="inlineStr">
        <is>
          <t>SANKALP</t>
        </is>
      </c>
      <c r="E375" s="1" t="inlineStr">
        <is>
          <t>10</t>
        </is>
      </c>
      <c r="F375" s="1" t="inlineStr">
        <is>
          <t>India</t>
        </is>
      </c>
      <c r="G375" s="1" t="n"/>
      <c r="H375" s="1" t="inlineStr">
        <is>
          <t>No</t>
        </is>
      </c>
      <c r="I375" s="5" t="n"/>
      <c r="J375" s="6">
        <f>IFERROR(HYPERLINK("https://docs.google.com/spreadsheets/d/10M8oEMfSST-xuPwcSARfQDNcQJ0xrCp8O9iHBGPAr34/edit?gid=1956219685&amp;range=A"&amp;MATCH("PR-2026-1671",'PR Lookup'!A:A,0),"PR-2026-1671"),"PR-2026-1671")</f>
        <v/>
      </c>
      <c r="K375" s="1" t="inlineStr">
        <is>
          <t>PR Raised</t>
        </is>
      </c>
      <c r="L375" s="3" t="n">
        <v>16</v>
      </c>
      <c r="M375" s="4" t="b">
        <v>0</v>
      </c>
      <c r="N375" s="3" t="n">
        <v>6</v>
      </c>
      <c r="O375" s="1" t="n"/>
      <c r="P375" s="1" t="n"/>
      <c r="Q375" s="1" t="inlineStr">
        <is>
          <t>LINK</t>
        </is>
      </c>
      <c r="R375" s="1" t="n"/>
      <c r="S375" s="1" t="n"/>
      <c r="T375" s="1" t="n"/>
      <c r="U375" s="3" t="n">
        <v>432</v>
      </c>
      <c r="V375" s="1">
        <f>IF($K375="To be purchased",COUNTIF($K$2:$K375,"To be purchased"),"")</f>
        <v/>
      </c>
    </row>
    <row r="376">
      <c r="A376" s="1" t="inlineStr">
        <is>
          <t>Mechanical parts</t>
        </is>
      </c>
      <c r="B376" s="2" t="inlineStr">
        <is>
          <t>Split Ring - Metal, 1 in - sander TST</t>
        </is>
      </c>
      <c r="C376" s="2" t="inlineStr">
        <is>
          <t>16-M Misc Hardware</t>
        </is>
      </c>
      <c r="D376" s="1" t="inlineStr">
        <is>
          <t>SANKALP</t>
        </is>
      </c>
      <c r="E376" s="1" t="inlineStr">
        <is>
          <t>5</t>
        </is>
      </c>
      <c r="F376" s="1" t="inlineStr">
        <is>
          <t>India</t>
        </is>
      </c>
      <c r="G376" s="1" t="n"/>
      <c r="H376" s="1" t="inlineStr">
        <is>
          <t>No</t>
        </is>
      </c>
      <c r="I376" s="5" t="n"/>
      <c r="J376" s="6">
        <f>IFERROR(HYPERLINK("https://docs.google.com/spreadsheets/d/10M8oEMfSST-xuPwcSARfQDNcQJ0xrCp8O9iHBGPAr34/edit?gid=1956219685&amp;range=A"&amp;MATCH("PR-2026-1672",'PR Lookup'!A:A,0),"PR-2026-1672"),"PR-2026-1672")</f>
        <v/>
      </c>
      <c r="K376" s="1" t="inlineStr">
        <is>
          <t>PR Raised</t>
        </is>
      </c>
      <c r="L376" s="3" t="n">
        <v>16</v>
      </c>
      <c r="M376" s="4" t="b">
        <v>0</v>
      </c>
      <c r="N376" s="3" t="n">
        <v>6</v>
      </c>
      <c r="O376" s="1" t="n"/>
      <c r="P376" s="1" t="n"/>
      <c r="Q376" s="1" t="inlineStr">
        <is>
          <t>LINK</t>
        </is>
      </c>
      <c r="R376" s="1" t="n"/>
      <c r="S376" s="1" t="n"/>
      <c r="T376" s="2" t="inlineStr">
        <is>
          <t>grouping auto-assigned - please verify.</t>
        </is>
      </c>
      <c r="U376" s="3" t="n">
        <v>437</v>
      </c>
      <c r="V376" s="1">
        <f>IF($K376="To be purchased",COUNTIF($K$2:$K376,"To be purchased"),"")</f>
        <v/>
      </c>
    </row>
    <row r="377">
      <c r="A377" s="1" t="inlineStr">
        <is>
          <t>Mechanical parts</t>
        </is>
      </c>
      <c r="B377" s="2" t="inlineStr">
        <is>
          <t>Eye Bolt - M8</t>
        </is>
      </c>
      <c r="C377" s="2" t="inlineStr">
        <is>
          <t>16-M Misc Hardware</t>
        </is>
      </c>
      <c r="D377" s="1" t="inlineStr">
        <is>
          <t>Kaustubh</t>
        </is>
      </c>
      <c r="E377" s="1" t="inlineStr">
        <is>
          <t>4</t>
        </is>
      </c>
      <c r="F377" s="1" t="inlineStr">
        <is>
          <t>India</t>
        </is>
      </c>
      <c r="G377" s="1" t="n"/>
      <c r="H377" s="1" t="inlineStr">
        <is>
          <t>No</t>
        </is>
      </c>
      <c r="I377" s="1" t="n"/>
      <c r="J377" s="1" t="n"/>
      <c r="K377" s="1" t="inlineStr">
        <is>
          <t>IQC Stage</t>
        </is>
      </c>
      <c r="L377" s="3" t="n">
        <v>16</v>
      </c>
      <c r="M377" s="4" t="b">
        <v>0</v>
      </c>
      <c r="N377" s="3" t="n">
        <v>6</v>
      </c>
      <c r="O377" s="1" t="n"/>
      <c r="P377" s="1" t="n"/>
      <c r="Q377" s="1" t="n"/>
      <c r="R377" s="1" t="n"/>
      <c r="S377" s="1" t="inlineStr">
        <is>
          <t>Mobile (travels with robot)</t>
        </is>
      </c>
      <c r="T377" s="1" t="n"/>
      <c r="U377" s="3" t="n">
        <v>579</v>
      </c>
      <c r="V377" s="1">
        <f>IF($K377="To be purchased",COUNTIF($K$2:$K377,"To be purchased"),"")</f>
        <v/>
      </c>
    </row>
    <row r="378">
      <c r="A378" s="1" t="inlineStr">
        <is>
          <t>Mechanical parts</t>
        </is>
      </c>
      <c r="B378" s="2" t="inlineStr">
        <is>
          <t>Robot Jack</t>
        </is>
      </c>
      <c r="C378" s="2" t="inlineStr">
        <is>
          <t>16-M Misc Hardware</t>
        </is>
      </c>
      <c r="D378" s="1" t="inlineStr">
        <is>
          <t>Kaustubh</t>
        </is>
      </c>
      <c r="E378" s="1" t="n">
        <v>2</v>
      </c>
      <c r="F378" s="1" t="inlineStr">
        <is>
          <t>India</t>
        </is>
      </c>
      <c r="G378" s="1" t="n"/>
      <c r="H378" s="1" t="inlineStr">
        <is>
          <t>No</t>
        </is>
      </c>
      <c r="I378" s="1" t="n"/>
      <c r="J378" s="1" t="n"/>
      <c r="K378" s="1" t="inlineStr">
        <is>
          <t>In stock</t>
        </is>
      </c>
      <c r="L378" s="3" t="n">
        <v>16</v>
      </c>
      <c r="M378" s="4" t="b">
        <v>0</v>
      </c>
      <c r="N378" s="3" t="n">
        <v>6</v>
      </c>
      <c r="O378" s="1" t="n"/>
      <c r="P378" s="1" t="n"/>
      <c r="Q378" s="1" t="n"/>
      <c r="R378" s="1" t="n"/>
      <c r="S378" s="1" t="inlineStr">
        <is>
          <t>Mobile (travels with robot)</t>
        </is>
      </c>
      <c r="T378" s="1" t="n"/>
      <c r="U378" s="3" t="n">
        <v>579</v>
      </c>
      <c r="V378" s="1">
        <f>IF($K378="To be purchased",COUNTIF($K$2:$K378,"To be purchased"),"")</f>
        <v/>
      </c>
    </row>
    <row r="379">
      <c r="A379" s="17" t="inlineStr">
        <is>
          <t>Mechanical parts</t>
        </is>
      </c>
      <c r="B379" s="18" t="inlineStr">
        <is>
          <t>Carabiner - Snap Hook Clip, B0BW99S531</t>
        </is>
      </c>
      <c r="C379" s="18" t="inlineStr">
        <is>
          <t>16-M Misc Hardware</t>
        </is>
      </c>
      <c r="D379" s="17" t="inlineStr">
        <is>
          <t>Anand</t>
        </is>
      </c>
      <c r="E379" s="17" t="inlineStr">
        <is>
          <t>3</t>
        </is>
      </c>
      <c r="F379" s="17" t="inlineStr">
        <is>
          <t>India</t>
        </is>
      </c>
      <c r="G379" s="17" t="n"/>
      <c r="H379" s="17" t="inlineStr">
        <is>
          <t>No</t>
        </is>
      </c>
      <c r="I379" s="17" t="n"/>
      <c r="J379" s="17" t="n"/>
      <c r="K379" s="17" t="inlineStr">
        <is>
          <t>In stock</t>
        </is>
      </c>
      <c r="L379" s="19" t="n">
        <v>16</v>
      </c>
      <c r="M379" s="20" t="b">
        <v>0</v>
      </c>
      <c r="N379" s="19" t="n">
        <v>6</v>
      </c>
      <c r="O379" s="17" t="n"/>
      <c r="P379" s="17" t="n"/>
      <c r="Q379" s="17" t="n"/>
      <c r="R379" s="17" t="n"/>
      <c r="S379" s="17" t="n"/>
      <c r="T379" s="18" t="inlineStr">
        <is>
          <t>[BOX ASSIGNED: 16 Mechanical parts - was unassigned] [POSSIBLE DUPLICATE of source row 432. Previous status: In stock]</t>
        </is>
      </c>
      <c r="U379" s="19" t="n">
        <v>618</v>
      </c>
      <c r="V379" s="17">
        <f>IF($K379="To be purchased",COUNTIF($K$2:$K379,"To be purchased"),"")</f>
        <v/>
      </c>
    </row>
    <row r="380">
      <c r="A380" s="1" t="inlineStr">
        <is>
          <t>Diagnostic &amp; repair tools</t>
        </is>
      </c>
      <c r="B380" s="2" t="inlineStr">
        <is>
          <t>Drill Bit Set - HSS</t>
        </is>
      </c>
      <c r="C380" s="2" t="inlineStr">
        <is>
          <t>17-A Hand Tools</t>
        </is>
      </c>
      <c r="D380" s="1" t="inlineStr">
        <is>
          <t>Kaustubh</t>
        </is>
      </c>
      <c r="E380" s="1" t="inlineStr">
        <is>
          <t>1</t>
        </is>
      </c>
      <c r="F380" s="1" t="inlineStr">
        <is>
          <t>India</t>
        </is>
      </c>
      <c r="G380" s="1" t="n"/>
      <c r="H380" s="1" t="inlineStr">
        <is>
          <t>No</t>
        </is>
      </c>
      <c r="I380" s="5" t="n"/>
      <c r="J380" s="6">
        <f>IFERROR(HYPERLINK("https://docs.google.com/spreadsheets/d/10M8oEMfSST-xuPwcSARfQDNcQJ0xrCp8O9iHBGPAr34/edit?gid=1956219685&amp;range=A"&amp;MATCH("PR-2026-1645",'PR Lookup'!A:A,0),"PR-2026-1645"),"PR-2026-1645")</f>
        <v/>
      </c>
      <c r="K380" s="1" t="inlineStr">
        <is>
          <t>PR Raised</t>
        </is>
      </c>
      <c r="L380" s="3" t="n">
        <v>17</v>
      </c>
      <c r="M380" s="4" t="b">
        <v>0</v>
      </c>
      <c r="N380" s="3" t="n">
        <v>6</v>
      </c>
      <c r="O380" s="1" t="n"/>
      <c r="P380" s="1" t="n"/>
      <c r="Q380" s="1" t="n"/>
      <c r="R380" s="1" t="n"/>
      <c r="S380" s="1" t="inlineStr">
        <is>
          <t>NY Stationary (stays in NY inventory)</t>
        </is>
      </c>
      <c r="T380" s="1" t="n"/>
      <c r="U380" s="3" t="n">
        <v>227</v>
      </c>
      <c r="V380" s="1">
        <f>IF($K380="To be purchased",COUNTIF($K$2:$K380,"To be purchased"),"")</f>
        <v/>
      </c>
    </row>
    <row r="381">
      <c r="A381" s="1" t="inlineStr">
        <is>
          <t>Diagnostic &amp; repair tools</t>
        </is>
      </c>
      <c r="B381" s="2" t="inlineStr">
        <is>
          <t>AIr blower</t>
        </is>
      </c>
      <c r="C381" s="2" t="inlineStr">
        <is>
          <t>17-A Hand Tools</t>
        </is>
      </c>
      <c r="D381" s="1" t="inlineStr">
        <is>
          <t>Kaustubh</t>
        </is>
      </c>
      <c r="E381" s="1" t="n">
        <v>1</v>
      </c>
      <c r="F381" s="1" t="inlineStr">
        <is>
          <t>Buy in US</t>
        </is>
      </c>
      <c r="G381" s="1" t="n"/>
      <c r="H381" s="1" t="inlineStr">
        <is>
          <t>No</t>
        </is>
      </c>
      <c r="I381" s="1" t="n"/>
      <c r="J381" s="1" t="n"/>
      <c r="K381" s="1" t="inlineStr">
        <is>
          <t>To be purchased</t>
        </is>
      </c>
      <c r="L381" s="3" t="n">
        <v>17</v>
      </c>
      <c r="M381" s="4" t="b">
        <v>0</v>
      </c>
      <c r="N381" s="3" t="n">
        <v>6</v>
      </c>
      <c r="O381" s="1" t="n"/>
      <c r="P381" s="1" t="n"/>
      <c r="Q381" s="1" t="n"/>
      <c r="R381" s="1" t="n"/>
      <c r="S381" s="1" t="n"/>
      <c r="T381" s="1" t="n"/>
      <c r="U381" s="1" t="n"/>
      <c r="V381" s="1" t="n"/>
    </row>
    <row r="382">
      <c r="A382" s="1" t="inlineStr">
        <is>
          <t>Diagnostic &amp; repair tools</t>
        </is>
      </c>
      <c r="B382" s="2" t="inlineStr">
        <is>
          <t>Stanley Knife</t>
        </is>
      </c>
      <c r="C382" s="2" t="inlineStr">
        <is>
          <t>17-A Hand Tools</t>
        </is>
      </c>
      <c r="D382" s="1" t="inlineStr">
        <is>
          <t>Kaustubh</t>
        </is>
      </c>
      <c r="E382" s="1" t="inlineStr">
        <is>
          <t>1 knife</t>
        </is>
      </c>
      <c r="F382" s="1" t="inlineStr">
        <is>
          <t>India</t>
        </is>
      </c>
      <c r="G382" s="1" t="n"/>
      <c r="H382" s="1" t="inlineStr">
        <is>
          <t>No</t>
        </is>
      </c>
      <c r="I382" s="5" t="n"/>
      <c r="J382" s="6">
        <f>IFERROR(HYPERLINK("https://docs.google.com/spreadsheets/d/10M8oEMfSST-xuPwcSARfQDNcQJ0xrCp8O9iHBGPAr34/edit?gid=1956219685&amp;range=A"&amp;MATCH("PR-2026-1651",'PR Lookup'!A:A,0),"PR-2026-1651"),"PR-2026-1651")</f>
        <v/>
      </c>
      <c r="K382" s="1" t="inlineStr">
        <is>
          <t>PR Raised</t>
        </is>
      </c>
      <c r="L382" s="3" t="n">
        <v>17</v>
      </c>
      <c r="M382" s="4" t="b">
        <v>0</v>
      </c>
      <c r="N382" s="3" t="n">
        <v>6</v>
      </c>
      <c r="O382" s="1" t="n"/>
      <c r="P382" s="1" t="n"/>
      <c r="Q382" s="1" t="n"/>
      <c r="R382" s="1" t="n"/>
      <c r="S382" s="1" t="n"/>
      <c r="T382" s="1" t="n"/>
      <c r="U382" s="1" t="n"/>
      <c r="V382" s="1" t="n"/>
    </row>
    <row r="383">
      <c r="A383" s="1" t="inlineStr">
        <is>
          <t>Diagnostic &amp; repair tools</t>
        </is>
      </c>
      <c r="B383" s="2" t="inlineStr">
        <is>
          <t>Drill Bit - Step, HSS</t>
        </is>
      </c>
      <c r="C383" s="2" t="inlineStr">
        <is>
          <t>17-A Hand Tools</t>
        </is>
      </c>
      <c r="D383" s="1" t="inlineStr">
        <is>
          <t>Kaustubh</t>
        </is>
      </c>
      <c r="E383" s="1" t="inlineStr">
        <is>
          <t>1</t>
        </is>
      </c>
      <c r="F383" s="1" t="inlineStr">
        <is>
          <t>India</t>
        </is>
      </c>
      <c r="G383" s="1" t="n"/>
      <c r="H383" s="1" t="inlineStr">
        <is>
          <t>No</t>
        </is>
      </c>
      <c r="I383" s="5" t="n"/>
      <c r="J383" s="6">
        <f>IFERROR(HYPERLINK("https://docs.google.com/spreadsheets/d/10M8oEMfSST-xuPwcSARfQDNcQJ0xrCp8O9iHBGPAr34/edit?gid=1956219685&amp;range=A"&amp;MATCH("PR-2026-1647",'PR Lookup'!A:A,0),"PR-2026-1647"),"PR-2026-1647")</f>
        <v/>
      </c>
      <c r="K383" s="1" t="inlineStr">
        <is>
          <t>In stock</t>
        </is>
      </c>
      <c r="L383" s="3" t="n">
        <v>17</v>
      </c>
      <c r="M383" s="4" t="b">
        <v>0</v>
      </c>
      <c r="N383" s="3" t="n">
        <v>6</v>
      </c>
      <c r="O383" s="1" t="n"/>
      <c r="P383" s="1" t="n"/>
      <c r="Q383" s="1" t="n"/>
      <c r="R383" s="1" t="n"/>
      <c r="S383" s="1" t="inlineStr">
        <is>
          <t>NY Stationary (stays in NY inventory)</t>
        </is>
      </c>
      <c r="T383" s="1" t="n"/>
      <c r="U383" s="3" t="n">
        <v>239</v>
      </c>
      <c r="V383" s="1">
        <f>IF($K383="To be purchased",COUNTIF($K$2:$K383,"To be purchased"),"")</f>
        <v/>
      </c>
    </row>
    <row r="384">
      <c r="A384" s="1" t="inlineStr">
        <is>
          <t>Diagnostic &amp; repair tools</t>
        </is>
      </c>
      <c r="B384" s="2" t="inlineStr">
        <is>
          <t>Tap &amp; Die Set - HSS</t>
        </is>
      </c>
      <c r="C384" s="2" t="inlineStr">
        <is>
          <t>17-A Hand Tools</t>
        </is>
      </c>
      <c r="D384" s="1" t="inlineStr">
        <is>
          <t>Kaustubh</t>
        </is>
      </c>
      <c r="E384" s="1" t="inlineStr">
        <is>
          <t>1</t>
        </is>
      </c>
      <c r="F384" s="1" t="inlineStr">
        <is>
          <t>India</t>
        </is>
      </c>
      <c r="G384" s="1" t="n"/>
      <c r="H384" s="1" t="inlineStr">
        <is>
          <t>No</t>
        </is>
      </c>
      <c r="I384" s="5" t="n"/>
      <c r="J384" s="6">
        <f>IFERROR(HYPERLINK("https://docs.google.com/spreadsheets/d/10M8oEMfSST-xuPwcSARfQDNcQJ0xrCp8O9iHBGPAr34/edit?gid=1956219685&amp;range=A"&amp;MATCH("PR-2026-1646",'PR Lookup'!A:A,0),"PR-2026-1646"),"PR-2026-1646")</f>
        <v/>
      </c>
      <c r="K384" s="1" t="inlineStr">
        <is>
          <t>PR Raised</t>
        </is>
      </c>
      <c r="L384" s="3" t="n">
        <v>17</v>
      </c>
      <c r="M384" s="4" t="b">
        <v>0</v>
      </c>
      <c r="N384" s="3" t="n">
        <v>6</v>
      </c>
      <c r="O384" s="1" t="n"/>
      <c r="P384" s="1" t="n"/>
      <c r="Q384" s="1" t="n"/>
      <c r="R384" s="1" t="n"/>
      <c r="S384" s="1" t="inlineStr">
        <is>
          <t>NY Stationary (stays in NY inventory)</t>
        </is>
      </c>
      <c r="T384" s="1" t="n"/>
      <c r="U384" s="3" t="n">
        <v>240</v>
      </c>
      <c r="V384" s="1">
        <f>IF($K384="To be purchased",COUNTIF($K$2:$K384,"To be purchased"),"")</f>
        <v/>
      </c>
    </row>
    <row r="385">
      <c r="A385" s="1" t="inlineStr">
        <is>
          <t>Diagnostic &amp; repair tools</t>
        </is>
      </c>
      <c r="B385" s="2" t="inlineStr">
        <is>
          <t>Measuring</t>
        </is>
      </c>
      <c r="C385" s="2" t="inlineStr">
        <is>
          <t>17-A Hand Tools</t>
        </is>
      </c>
      <c r="D385" s="1" t="inlineStr">
        <is>
          <t>Kaustubh</t>
        </is>
      </c>
      <c r="E385" s="1" t="inlineStr">
        <is>
          <t>1</t>
        </is>
      </c>
      <c r="F385" s="1" t="inlineStr">
        <is>
          <t>India</t>
        </is>
      </c>
      <c r="G385" s="1" t="n"/>
      <c r="H385" s="1" t="inlineStr">
        <is>
          <t>No</t>
        </is>
      </c>
      <c r="I385" s="1" t="n"/>
      <c r="J385" s="1" t="n"/>
      <c r="K385" s="1" t="inlineStr">
        <is>
          <t>In stock</t>
        </is>
      </c>
      <c r="L385" s="3" t="n">
        <v>17</v>
      </c>
      <c r="M385" s="4" t="b">
        <v>0</v>
      </c>
      <c r="N385" s="3" t="n">
        <v>6</v>
      </c>
      <c r="O385" s="1" t="n"/>
      <c r="P385" s="1" t="n"/>
      <c r="Q385" s="1" t="n"/>
      <c r="R385" s="1" t="n"/>
      <c r="S385" s="1" t="inlineStr">
        <is>
          <t>NY Stationary (stays in NY inventory)</t>
        </is>
      </c>
      <c r="T385" s="2" t="inlineStr">
        <is>
          <t>Detail: Fastening.</t>
        </is>
      </c>
      <c r="U385" s="3" t="n">
        <v>524</v>
      </c>
      <c r="V385" s="1">
        <f>IF($K385="To be purchased",COUNTIF($K$2:$K385,"To be purchased"),"")</f>
        <v/>
      </c>
    </row>
    <row r="386">
      <c r="A386" s="1" t="inlineStr">
        <is>
          <t>Diagnostic &amp; repair tools</t>
        </is>
      </c>
      <c r="B386" s="2" t="inlineStr">
        <is>
          <t>Allen Key Set - Ball End</t>
        </is>
      </c>
      <c r="C386" s="2" t="inlineStr">
        <is>
          <t>17-A Hand Tools</t>
        </is>
      </c>
      <c r="D386" s="1" t="inlineStr">
        <is>
          <t>Kaustubh</t>
        </is>
      </c>
      <c r="E386" s="1" t="inlineStr">
        <is>
          <t>1</t>
        </is>
      </c>
      <c r="F386" s="1" t="inlineStr">
        <is>
          <t>India</t>
        </is>
      </c>
      <c r="G386" s="1" t="n"/>
      <c r="H386" s="1" t="inlineStr">
        <is>
          <t>No</t>
        </is>
      </c>
      <c r="I386" s="5" t="n"/>
      <c r="J386" s="6">
        <f>IFERROR(HYPERLINK("https://docs.google.com/spreadsheets/d/10M8oEMfSST-xuPwcSARfQDNcQJ0xrCp8O9iHBGPAr34/edit?gid=1956219685&amp;range=A"&amp;MATCH("PR-2026-1648",'PR Lookup'!A:A,0),"PR-2026-1648"),"PR-2026-1648")</f>
        <v/>
      </c>
      <c r="K386" s="1" t="inlineStr">
        <is>
          <t>In stock</t>
        </is>
      </c>
      <c r="L386" s="3" t="n">
        <v>17</v>
      </c>
      <c r="M386" s="4" t="b">
        <v>0</v>
      </c>
      <c r="N386" s="3" t="n">
        <v>6</v>
      </c>
      <c r="O386" s="1" t="n"/>
      <c r="P386" s="1" t="n"/>
      <c r="Q386" s="1" t="n"/>
      <c r="R386" s="1" t="n"/>
      <c r="S386" s="1" t="inlineStr">
        <is>
          <t>NY Stationary (stays in NY inventory)</t>
        </is>
      </c>
      <c r="T386" s="2" t="inlineStr">
        <is>
          <t>Detail: Fastening.</t>
        </is>
      </c>
      <c r="U386" s="3" t="n">
        <v>525</v>
      </c>
      <c r="V386" s="1">
        <f>IF($K386="To be purchased",COUNTIF($K$2:$K386,"To be purchased"),"")</f>
        <v/>
      </c>
    </row>
    <row r="387">
      <c r="A387" s="1" t="inlineStr">
        <is>
          <t>Bringup Kit</t>
        </is>
      </c>
      <c r="B387" s="2" t="inlineStr">
        <is>
          <t>Ratchet Set</t>
        </is>
      </c>
      <c r="C387" s="2" t="inlineStr">
        <is>
          <t>17-A Hand Tools</t>
        </is>
      </c>
      <c r="D387" s="1" t="inlineStr">
        <is>
          <t>Kaustubh</t>
        </is>
      </c>
      <c r="E387" s="1" t="inlineStr">
        <is>
          <t>1</t>
        </is>
      </c>
      <c r="F387" s="1" t="inlineStr">
        <is>
          <t>India</t>
        </is>
      </c>
      <c r="G387" s="1" t="n"/>
      <c r="H387" s="1" t="inlineStr">
        <is>
          <t>No</t>
        </is>
      </c>
      <c r="I387" s="5" t="n"/>
      <c r="J387" s="6">
        <f>IFERROR(HYPERLINK("https://docs.google.com/spreadsheets/d/10M8oEMfSST-xuPwcSARfQDNcQJ0xrCp8O9iHBGPAr34/edit?gid=1956219685&amp;range=A"&amp;MATCH("PR-2026-1579",'PR Lookup'!A:A,0),"PR-2026-1579"),"PR-2026-1579")</f>
        <v/>
      </c>
      <c r="K387" s="1" t="inlineStr">
        <is>
          <t>In stock</t>
        </is>
      </c>
      <c r="L387" s="3" t="n">
        <v>2</v>
      </c>
      <c r="M387" s="4" t="b">
        <v>0</v>
      </c>
      <c r="N387" s="3" t="n">
        <v>1</v>
      </c>
      <c r="O387" s="1" t="n"/>
      <c r="P387" s="1" t="n"/>
      <c r="Q387" s="1" t="n"/>
      <c r="R387" s="1" t="n"/>
      <c r="S387" s="1" t="inlineStr">
        <is>
          <t>Mobile (travels with robot)</t>
        </is>
      </c>
      <c r="T387" s="2" t="inlineStr">
        <is>
          <t>Detail: Fastening.</t>
        </is>
      </c>
      <c r="U387" s="3" t="n">
        <v>528</v>
      </c>
      <c r="V387" s="1">
        <f>IF($K387="To be purchased",COUNTIF($K$2:$K387,"To be purchased"),"")</f>
        <v/>
      </c>
    </row>
    <row r="388">
      <c r="A388" s="1" t="inlineStr">
        <is>
          <t>Diagnostic &amp; repair tools</t>
        </is>
      </c>
      <c r="B388" s="2" t="inlineStr">
        <is>
          <t>Caulking Gun</t>
        </is>
      </c>
      <c r="C388" s="2" t="inlineStr">
        <is>
          <t>17-A Hand Tools</t>
        </is>
      </c>
      <c r="D388" s="1" t="inlineStr">
        <is>
          <t>Kaustubh</t>
        </is>
      </c>
      <c r="E388" s="1" t="inlineStr">
        <is>
          <t>1</t>
        </is>
      </c>
      <c r="F388" s="1" t="inlineStr">
        <is>
          <t>India</t>
        </is>
      </c>
      <c r="G388" s="1" t="n"/>
      <c r="H388" s="1" t="inlineStr">
        <is>
          <t>No</t>
        </is>
      </c>
      <c r="I388" s="1" t="n"/>
      <c r="J388" s="1" t="n"/>
      <c r="K388" s="1" t="inlineStr">
        <is>
          <t>In stock</t>
        </is>
      </c>
      <c r="L388" s="3" t="n">
        <v>17</v>
      </c>
      <c r="M388" s="4" t="b">
        <v>0</v>
      </c>
      <c r="N388" s="3" t="n">
        <v>6</v>
      </c>
      <c r="O388" s="1" t="n"/>
      <c r="P388" s="1" t="n"/>
      <c r="Q388" s="1" t="n"/>
      <c r="R388" s="1" t="n"/>
      <c r="S388" s="1" t="inlineStr">
        <is>
          <t>Mobile (travels with robot)</t>
        </is>
      </c>
      <c r="T388" s="2" t="inlineStr">
        <is>
          <t>Detail: PU Sealant Application.</t>
        </is>
      </c>
      <c r="U388" s="3" t="n">
        <v>529</v>
      </c>
      <c r="V388" s="1">
        <f>IF($K388="To be purchased",COUNTIF($K$2:$K388,"To be purchased"),"")</f>
        <v/>
      </c>
    </row>
    <row r="389">
      <c r="A389" s="1" t="inlineStr">
        <is>
          <t>Diagnostic &amp; repair tools</t>
        </is>
      </c>
      <c r="B389" s="2" t="inlineStr">
        <is>
          <t>Caulking Gun Nozzle</t>
        </is>
      </c>
      <c r="C389" s="2" t="inlineStr">
        <is>
          <t>17-A Hand Tools</t>
        </is>
      </c>
      <c r="D389" s="1" t="inlineStr">
        <is>
          <t>Kaustubh</t>
        </is>
      </c>
      <c r="E389" s="1" t="inlineStr">
        <is>
          <t>5</t>
        </is>
      </c>
      <c r="F389" s="1" t="inlineStr">
        <is>
          <t>India</t>
        </is>
      </c>
      <c r="G389" s="1" t="n"/>
      <c r="H389" s="1" t="inlineStr">
        <is>
          <t>No</t>
        </is>
      </c>
      <c r="I389" s="1" t="n"/>
      <c r="J389" s="1" t="n"/>
      <c r="K389" s="1" t="inlineStr">
        <is>
          <t>In stock</t>
        </is>
      </c>
      <c r="L389" s="3" t="n">
        <v>17</v>
      </c>
      <c r="M389" s="4" t="b">
        <v>0</v>
      </c>
      <c r="N389" s="3" t="n">
        <v>6</v>
      </c>
      <c r="O389" s="1" t="n"/>
      <c r="P389" s="1" t="n"/>
      <c r="Q389" s="1" t="n"/>
      <c r="R389" s="1" t="n"/>
      <c r="S389" s="1" t="inlineStr">
        <is>
          <t>Mobile (travels with robot)</t>
        </is>
      </c>
      <c r="T389" s="2" t="inlineStr">
        <is>
          <t>Detail: PU Sealant Application.</t>
        </is>
      </c>
      <c r="U389" s="3" t="n">
        <v>530</v>
      </c>
      <c r="V389" s="1">
        <f>IF($K389="To be purchased",COUNTIF($K$2:$K389,"To be purchased"),"")</f>
        <v/>
      </c>
    </row>
    <row r="390">
      <c r="A390" s="1" t="inlineStr">
        <is>
          <t>Diagnostic &amp; repair tools</t>
        </is>
      </c>
      <c r="B390" s="2" t="inlineStr">
        <is>
          <t>Screwdriver Set - Precision (small bits)</t>
        </is>
      </c>
      <c r="C390" s="2" t="inlineStr">
        <is>
          <t>17-A Hand Tools</t>
        </is>
      </c>
      <c r="D390" s="1" t="inlineStr">
        <is>
          <t>Badri</t>
        </is>
      </c>
      <c r="E390" s="1" t="inlineStr">
        <is>
          <t>1</t>
        </is>
      </c>
      <c r="F390" s="1" t="inlineStr">
        <is>
          <t>India</t>
        </is>
      </c>
      <c r="G390" s="1" t="n"/>
      <c r="H390" s="1" t="inlineStr">
        <is>
          <t>No</t>
        </is>
      </c>
      <c r="I390" s="1" t="n"/>
      <c r="J390" s="1" t="n"/>
      <c r="K390" s="1" t="inlineStr">
        <is>
          <t>PR Raised</t>
        </is>
      </c>
      <c r="L390" s="3" t="n">
        <v>17</v>
      </c>
      <c r="M390" s="4" t="b">
        <v>0</v>
      </c>
      <c r="N390" s="3" t="n">
        <v>6</v>
      </c>
      <c r="O390" s="1" t="n"/>
      <c r="P390" s="1" t="n"/>
      <c r="Q390" s="1" t="inlineStr">
        <is>
          <t>https://www.amazon.in/AGARO-112Pcs-Precision-Screwdriver-Number/dp/B08Y733MJP/ref=sr_1_3_sspa?dib=eyJ2IjoiMSJ9.vA4xi7mWdYX5MhGG1VyMPXvjW-TxfIRCn1qv6wbp3mQMxaAYfvwiLt8lQf3Nx-C5SmwopYp3MNHNYEyKvJ2aw08WCdUWUsYpabYtMvUjJ_LiNXCr2NLWehar3cGFmHB_QvdeY9RZ6FPCX_v3WAQuE-vcLgZqbqvN_NVWUkQd9-xY3MntFjlQV58Bn3kWHkP45L7v40YnHIpPA35Q0bXsHFQAy7lDMvnpUyrBZV2Yl4ZsyM4XpI-T1Q_1mW3AYSlUzS6_nagLQd3-l1DdHGAQ2lUv_p_sLV6DXY-vamX-5M4.GKOgHf9uCUSreXZgaq-kcfDehQ9ObbCl6aRFsPDbIE0&amp;dib_tag=se&amp;keywords=screwdriver%2Bset&amp;qid=1786960488&amp;sr=8-3-spons&amp;aref=l94qLzrRqQ&amp;sp_csd=d2lkZ2V0TmFtZT1zcF9hdGY&amp;th=1</t>
        </is>
      </c>
      <c r="R390" s="1" t="n"/>
      <c r="S390" s="1" t="n"/>
      <c r="T390" s="2" t="inlineStr">
        <is>
          <t>Detail: For UR / Orin / Motor driver debugging.</t>
        </is>
      </c>
      <c r="U390" s="3" t="n">
        <v>556</v>
      </c>
      <c r="V390" s="1">
        <f>IF($K390="To be purchased",COUNTIF($K$2:$K390,"To be purchased"),"")</f>
        <v/>
      </c>
    </row>
    <row r="391">
      <c r="A391" s="1" t="inlineStr">
        <is>
          <t>Bringup Kit</t>
        </is>
      </c>
      <c r="B391" s="2" t="inlineStr">
        <is>
          <t>Screwdriver - Flat Head, 6-8 mm tip (medium) - unpacking</t>
        </is>
      </c>
      <c r="C391" s="2" t="inlineStr">
        <is>
          <t>17-A Hand Tools</t>
        </is>
      </c>
      <c r="D391" s="1" t="inlineStr">
        <is>
          <t>Kaustubh</t>
        </is>
      </c>
      <c r="E391" s="1" t="inlineStr">
        <is>
          <t>1</t>
        </is>
      </c>
      <c r="F391" s="1" t="inlineStr">
        <is>
          <t>India</t>
        </is>
      </c>
      <c r="G391" s="1" t="n"/>
      <c r="H391" s="1" t="inlineStr">
        <is>
          <t>No</t>
        </is>
      </c>
      <c r="I391" s="5" t="n"/>
      <c r="J391" s="6">
        <f>IFERROR(HYPERLINK("https://docs.google.com/spreadsheets/d/10M8oEMfSST-xuPwcSARfQDNcQJ0xrCp8O9iHBGPAr34/edit?gid=1956219685&amp;range=A"&amp;MATCH("PR-2026-1577",'PR Lookup'!A:A,0),"PR-2026-1577"),"PR-2026-1577")</f>
        <v/>
      </c>
      <c r="K391" s="1" t="inlineStr">
        <is>
          <t>PR Raised</t>
        </is>
      </c>
      <c r="L391" s="3" t="n">
        <v>17</v>
      </c>
      <c r="M391" s="4" t="b">
        <v>0</v>
      </c>
      <c r="N391" s="3" t="n">
        <v>6</v>
      </c>
      <c r="O391" s="1" t="n"/>
      <c r="P391" s="1" t="n"/>
      <c r="Q391" s="1" t="n"/>
      <c r="R391" s="1" t="n"/>
      <c r="S391" s="1" t="n"/>
      <c r="T391" s="2" t="inlineStr">
        <is>
          <t>Also stocked in: MoMa / Bringup Kit. Kept separate on purpose - one per box.</t>
        </is>
      </c>
      <c r="U391" s="3" t="n">
        <v>589</v>
      </c>
      <c r="V391" s="1">
        <f>IF($K391="To be purchased",COUNTIF($K$2:$K391,"To be purchased"),"")</f>
        <v/>
      </c>
    </row>
    <row r="392">
      <c r="A392" s="1" t="inlineStr">
        <is>
          <t>Diagnostic &amp; repair tools</t>
        </is>
      </c>
      <c r="B392" s="2" t="inlineStr">
        <is>
          <t>Scissors - Heavy Duty - unpacking</t>
        </is>
      </c>
      <c r="C392" s="2" t="inlineStr">
        <is>
          <t>17-A Hand Tools</t>
        </is>
      </c>
      <c r="D392" s="1" t="inlineStr">
        <is>
          <t>Kaustubh</t>
        </is>
      </c>
      <c r="E392" s="1" t="inlineStr">
        <is>
          <t>1</t>
        </is>
      </c>
      <c r="F392" s="1" t="inlineStr">
        <is>
          <t>India</t>
        </is>
      </c>
      <c r="G392" s="1" t="n"/>
      <c r="H392" s="1" t="inlineStr">
        <is>
          <t>No</t>
        </is>
      </c>
      <c r="I392" s="5" t="n"/>
      <c r="J392" s="6">
        <f>IFERROR(HYPERLINK("https://docs.google.com/spreadsheets/d/10M8oEMfSST-xuPwcSARfQDNcQJ0xrCp8O9iHBGPAr34/edit?gid=1956219685&amp;range=A"&amp;MATCH("PR-2026-1578",'PR Lookup'!A:A,0),"PR-2026-1578"),"PR-2026-1578")</f>
        <v/>
      </c>
      <c r="K392" s="1" t="inlineStr">
        <is>
          <t>PR Raised</t>
        </is>
      </c>
      <c r="L392" s="3" t="n">
        <v>17</v>
      </c>
      <c r="M392" s="4" t="b">
        <v>0</v>
      </c>
      <c r="N392" s="3" t="n">
        <v>6</v>
      </c>
      <c r="O392" s="1" t="n"/>
      <c r="P392" s="1" t="n"/>
      <c r="Q392" s="1" t="n"/>
      <c r="R392" s="1" t="n"/>
      <c r="S392" s="1" t="n"/>
      <c r="T392" s="2" t="inlineStr">
        <is>
          <t>Also stocked in: MoMa / Bringup Kit. Kept separate on purpose - one per box.</t>
        </is>
      </c>
      <c r="U392" s="3" t="n">
        <v>590</v>
      </c>
      <c r="V392" s="1">
        <f>IF($K392="To be purchased",COUNTIF($K$2:$K392,"To be purchased"),"")</f>
        <v/>
      </c>
    </row>
    <row r="393">
      <c r="A393" s="1" t="inlineStr">
        <is>
          <t>Diagnostic &amp; repair tools</t>
        </is>
      </c>
      <c r="B393" s="2" t="inlineStr">
        <is>
          <t>Oscilloscope - Portable, PicoScope 2204A</t>
        </is>
      </c>
      <c r="C393" s="2" t="inlineStr">
        <is>
          <t>17-C Measurement Instruments</t>
        </is>
      </c>
      <c r="D393" s="1" t="inlineStr">
        <is>
          <t>Aravind</t>
        </is>
      </c>
      <c r="E393" s="1" t="inlineStr">
        <is>
          <t>1</t>
        </is>
      </c>
      <c r="F393" s="1" t="inlineStr">
        <is>
          <t>Buy in US</t>
        </is>
      </c>
      <c r="G393" s="1" t="n"/>
      <c r="H393" s="1" t="inlineStr">
        <is>
          <t>No</t>
        </is>
      </c>
      <c r="I393" s="1" t="n"/>
      <c r="J393" s="1" t="n"/>
      <c r="K393" s="1" t="inlineStr">
        <is>
          <t>To be purchased</t>
        </is>
      </c>
      <c r="L393" s="3" t="n">
        <v>17</v>
      </c>
      <c r="M393" s="4" t="b">
        <v>0</v>
      </c>
      <c r="N393" s="3" t="n">
        <v>6</v>
      </c>
      <c r="O393" s="1" t="n"/>
      <c r="P393" s="1" t="n"/>
      <c r="Q393" s="1" t="inlineStr">
        <is>
          <t>https://www.picotech.com/oscilloscope/2000/picoscope-2000-overview?model=2204A</t>
        </is>
      </c>
      <c r="R393" s="1" t="n"/>
      <c r="S393" s="1" t="n"/>
      <c r="T393" s="2" t="inlineStr">
        <is>
          <t>Detail: For general debugging.</t>
        </is>
      </c>
      <c r="U393" s="3" t="n">
        <v>543</v>
      </c>
      <c r="V393" s="3">
        <f>IF($K393="To be purchased",COUNTIF($K$2:$K393,"To be purchased"),"")</f>
        <v/>
      </c>
    </row>
    <row r="394">
      <c r="A394" s="13" t="inlineStr">
        <is>
          <t>Diagnostic &amp; repair tools</t>
        </is>
      </c>
      <c r="B394" s="2" t="inlineStr">
        <is>
          <t>Power Supply - Bench Regulated, 60 V / 5 A</t>
        </is>
      </c>
      <c r="C394" s="2" t="inlineStr">
        <is>
          <t>17-C Measurement Instruments</t>
        </is>
      </c>
      <c r="D394" s="1" t="inlineStr">
        <is>
          <t>Aravind</t>
        </is>
      </c>
      <c r="E394" s="1" t="inlineStr">
        <is>
          <t>1</t>
        </is>
      </c>
      <c r="F394" s="1" t="inlineStr">
        <is>
          <t>Buy in US</t>
        </is>
      </c>
      <c r="G394" s="1" t="n"/>
      <c r="H394" s="1" t="inlineStr">
        <is>
          <t>No</t>
        </is>
      </c>
      <c r="I394" s="1" t="n"/>
      <c r="J394" s="1" t="n"/>
      <c r="K394" s="1" t="inlineStr">
        <is>
          <t>To be purchased</t>
        </is>
      </c>
      <c r="L394" s="14" t="n">
        <v>17</v>
      </c>
      <c r="M394" s="4" t="b">
        <v>0</v>
      </c>
      <c r="N394" s="3" t="n">
        <v>6</v>
      </c>
      <c r="O394" s="1" t="n"/>
      <c r="P394" s="1" t="n"/>
      <c r="Q394" s="1" t="inlineStr">
        <is>
          <t>https://www.amazon.com/Adjustable-Regulated-Precision-Charging-Electronics/dp/B0CN98BS4P/ref=sr_1_3?crid=TE3ZCEJRK2YY&amp;dib=eyJ2IjoiMSJ9.HuFttYJas30g6-eywe9Kw_FZGfyJl7ku6HQtD-qK6r72zwQqduBVPjD-380-eEhC-hoInKNJk01kCRkx_a8W8iaNENuY7XhUOUMEJW0s6w738JG2fqhFnCE5prZf6gn4Gupt5gQ5WJH5jtDAa0tfh-8mZCL8s27QAW045_HIkzUHmNzdtTrnuGGxLWYydnv2CkhNRVRY7kH3Trbc1LTqTae5duPGxUara4QIPZn3IuY.7o8CurYfsjQVlbFiKkJrBhWNLMi05lyNBISskCpYA6I&amp;dib_tag=se&amp;keywords=regulated%2Bpower%2Bsupply%2B60V&amp;qid=1786958425&amp;sprefix=regulated%2Bpower%2Bsupply%2B60v%2Caps%2C383&amp;sr=8-3&amp;th=1</t>
        </is>
      </c>
      <c r="R394" s="1" t="n"/>
      <c r="S394" s="1" t="n"/>
      <c r="T394" s="2" t="inlineStr">
        <is>
          <t>[BOX CHANGED: 10 Power &amp; Switching -&gt; 17 Diagnostic &amp; repair tools] Detail: For general debugging.</t>
        </is>
      </c>
      <c r="U394" s="3" t="n">
        <v>544</v>
      </c>
      <c r="V394" s="3">
        <f>IF($K394="To be purchased",COUNTIF($K$2:$K394,"To be purchased"),"")</f>
        <v/>
      </c>
    </row>
    <row r="395">
      <c r="A395" s="1" t="inlineStr">
        <is>
          <t>Diagnostic &amp; repair tools</t>
        </is>
      </c>
      <c r="B395" s="2" t="inlineStr">
        <is>
          <t>Center Punch</t>
        </is>
      </c>
      <c r="C395" s="2" t="inlineStr">
        <is>
          <t>17-A Hand Tools</t>
        </is>
      </c>
      <c r="D395" s="1" t="inlineStr">
        <is>
          <t>Kaustubh</t>
        </is>
      </c>
      <c r="E395" s="1" t="inlineStr">
        <is>
          <t>1</t>
        </is>
      </c>
      <c r="F395" s="1" t="inlineStr">
        <is>
          <t>India</t>
        </is>
      </c>
      <c r="G395" s="1" t="n"/>
      <c r="H395" s="1" t="inlineStr">
        <is>
          <t>No</t>
        </is>
      </c>
      <c r="I395" s="1" t="n"/>
      <c r="J395" s="1" t="n"/>
      <c r="K395" s="1" t="inlineStr">
        <is>
          <t>In stock</t>
        </is>
      </c>
      <c r="L395" s="3" t="n">
        <v>17</v>
      </c>
      <c r="M395" s="4" t="b">
        <v>0</v>
      </c>
      <c r="N395" s="3" t="n">
        <v>6</v>
      </c>
      <c r="O395" s="1" t="n"/>
      <c r="P395" s="1" t="n"/>
      <c r="Q395" s="1" t="n"/>
      <c r="R395" s="1" t="n"/>
      <c r="S395" s="1" t="inlineStr">
        <is>
          <t>NY Stationary (stays in NY inventory)</t>
        </is>
      </c>
      <c r="T395" s="2" t="inlineStr">
        <is>
          <t>Detail: Capacitor Restriction.</t>
        </is>
      </c>
      <c r="U395" s="3" t="n">
        <v>534</v>
      </c>
      <c r="V395" s="1">
        <f>IF($K395="To be purchased",COUNTIF($K$2:$K395,"To be purchased"),"")</f>
        <v/>
      </c>
    </row>
    <row r="396">
      <c r="A396" s="1" t="inlineStr">
        <is>
          <t>Diagnostic &amp; repair tools</t>
        </is>
      </c>
      <c r="B396" s="2" t="inlineStr">
        <is>
          <t>Heat Gun - Hot Air</t>
        </is>
      </c>
      <c r="C396" s="2" t="inlineStr">
        <is>
          <t>17-D Soldering &amp; Hot Work</t>
        </is>
      </c>
      <c r="D396" s="1" t="inlineStr">
        <is>
          <t>Badri</t>
        </is>
      </c>
      <c r="E396" s="1" t="inlineStr">
        <is>
          <t>1</t>
        </is>
      </c>
      <c r="F396" s="1" t="inlineStr">
        <is>
          <t>India</t>
        </is>
      </c>
      <c r="G396" s="1" t="n"/>
      <c r="H396" s="1" t="inlineStr">
        <is>
          <t>No</t>
        </is>
      </c>
      <c r="I396" s="1" t="n"/>
      <c r="J396" s="1" t="n"/>
      <c r="K396" s="1" t="inlineStr">
        <is>
          <t>PR Raised</t>
        </is>
      </c>
      <c r="L396" s="3" t="n">
        <v>17</v>
      </c>
      <c r="M396" s="4" t="b">
        <v>0</v>
      </c>
      <c r="N396" s="3" t="n">
        <v>6</v>
      </c>
      <c r="O396" s="1" t="n"/>
      <c r="P396" s="1" t="n"/>
      <c r="Q396" s="1" t="inlineStr">
        <is>
          <t>https://amzn.in/d/0eAbMghM</t>
        </is>
      </c>
      <c r="R396" s="1" t="n"/>
      <c r="S396" s="1" t="n"/>
      <c r="T396" s="2" t="inlineStr">
        <is>
          <t>Detail: For general debugging.</t>
        </is>
      </c>
      <c r="U396" s="3" t="n">
        <v>563</v>
      </c>
      <c r="V396" s="1">
        <f>IF($K396="To be purchased",COUNTIF($K$2:$K396,"To be purchased"),"")</f>
        <v/>
      </c>
    </row>
    <row r="397">
      <c r="A397" s="1" t="inlineStr">
        <is>
          <t>Diagnostic &amp; repair tools</t>
        </is>
      </c>
      <c r="B397" s="2" t="inlineStr">
        <is>
          <t>Display - Portable Monitor, DisplayPort</t>
        </is>
      </c>
      <c r="C397" s="2" t="inlineStr">
        <is>
          <t>17-E Debug Adapters &amp; Converters</t>
        </is>
      </c>
      <c r="D397" s="1" t="inlineStr">
        <is>
          <t>Aravind</t>
        </is>
      </c>
      <c r="E397" s="1" t="inlineStr">
        <is>
          <t>1</t>
        </is>
      </c>
      <c r="F397" s="1" t="inlineStr">
        <is>
          <t>Buy in US</t>
        </is>
      </c>
      <c r="G397" s="1" t="n"/>
      <c r="H397" s="1" t="inlineStr">
        <is>
          <t>No</t>
        </is>
      </c>
      <c r="I397" s="1" t="n"/>
      <c r="J397" s="1" t="n"/>
      <c r="K397" s="1" t="inlineStr">
        <is>
          <t>To be purchased</t>
        </is>
      </c>
      <c r="L397" s="3" t="n">
        <v>17</v>
      </c>
      <c r="M397" s="4" t="b">
        <v>0</v>
      </c>
      <c r="N397" s="3" t="n">
        <v>6</v>
      </c>
      <c r="O397" s="1" t="n"/>
      <c r="P397" s="1" t="n"/>
      <c r="Q397" s="1" t="inlineStr">
        <is>
          <t>https://a.co/d/02w0lwL6</t>
        </is>
      </c>
      <c r="R397" s="1" t="n"/>
      <c r="S397" s="1" t="n"/>
      <c r="T397" s="2" t="inlineStr">
        <is>
          <t>Detail: For UR / Planner Orin.</t>
        </is>
      </c>
      <c r="U397" s="3" t="n">
        <v>547</v>
      </c>
      <c r="V397" s="3">
        <f>IF($K397="To be purchased",COUNTIF($K$2:$K397,"To be purchased"),"")</f>
        <v/>
      </c>
    </row>
    <row r="398">
      <c r="A398" s="1" t="inlineStr">
        <is>
          <t>Diagnostic &amp; repair tools</t>
        </is>
      </c>
      <c r="B398" s="2" t="inlineStr">
        <is>
          <t>Adapter - UR Teach Pendant Display</t>
        </is>
      </c>
      <c r="C398" s="2" t="inlineStr">
        <is>
          <t>17-E Debug Adapters &amp; Converters</t>
        </is>
      </c>
      <c r="D398" s="1" t="inlineStr">
        <is>
          <t>Badri</t>
        </is>
      </c>
      <c r="E398" s="1" t="inlineStr">
        <is>
          <t>1</t>
        </is>
      </c>
      <c r="F398" s="1" t="inlineStr">
        <is>
          <t>India</t>
        </is>
      </c>
      <c r="G398" s="1" t="n"/>
      <c r="H398" s="1" t="inlineStr">
        <is>
          <t>No</t>
        </is>
      </c>
      <c r="I398" s="1" t="n"/>
      <c r="J398" s="1" t="n"/>
      <c r="K398" s="1" t="inlineStr">
        <is>
          <t>PR Raised</t>
        </is>
      </c>
      <c r="L398" s="3" t="n">
        <v>17</v>
      </c>
      <c r="M398" s="4" t="b">
        <v>0</v>
      </c>
      <c r="N398" s="3" t="n">
        <v>6</v>
      </c>
      <c r="O398" s="1" t="n"/>
      <c r="P398" s="1" t="n"/>
      <c r="Q398" s="1" t="inlineStr">
        <is>
          <t>https://amzn.in/d/08QYC6qR</t>
        </is>
      </c>
      <c r="R398" s="1" t="n"/>
      <c r="S398" s="1" t="n"/>
      <c r="T398" s="2" t="inlineStr">
        <is>
          <t>Detail: For UR debugging / reflash.</t>
        </is>
      </c>
      <c r="U398" s="3" t="n">
        <v>549</v>
      </c>
      <c r="V398" s="1">
        <f>IF($K398="To be purchased",COUNTIF($K$2:$K398,"To be purchased"),"")</f>
        <v/>
      </c>
    </row>
    <row r="399">
      <c r="A399" s="1" t="inlineStr">
        <is>
          <t>Diagnostic &amp; repair tools</t>
        </is>
      </c>
      <c r="B399" s="2" t="inlineStr">
        <is>
          <t>Cable -  LP16 8 Pin panel mount with can debug JST Connector</t>
        </is>
      </c>
      <c r="C399" s="2" t="inlineStr">
        <is>
          <t>17-E Debug Adapters &amp; Converters</t>
        </is>
      </c>
      <c r="D399" s="1" t="inlineStr">
        <is>
          <t>Uttez</t>
        </is>
      </c>
      <c r="E399" s="1" t="n">
        <v>1</v>
      </c>
      <c r="F399" s="1" t="inlineStr">
        <is>
          <t>India</t>
        </is>
      </c>
      <c r="G399" s="1" t="n"/>
      <c r="H399" s="1" t="inlineStr">
        <is>
          <t>No</t>
        </is>
      </c>
      <c r="I399" s="1" t="n"/>
      <c r="J399" s="1" t="n"/>
      <c r="K399" s="1" t="inlineStr">
        <is>
          <t>To be Prepared</t>
        </is>
      </c>
      <c r="L399" s="3" t="n">
        <v>17</v>
      </c>
      <c r="M399" s="4" t="b">
        <v>0</v>
      </c>
      <c r="N399" s="3" t="n">
        <v>6</v>
      </c>
      <c r="O399" s="1" t="n"/>
      <c r="P399" s="1" t="n"/>
      <c r="Q399" s="1" t="n"/>
      <c r="R399" s="1" t="n"/>
      <c r="S399" s="1" t="n"/>
      <c r="T399" s="1" t="n"/>
      <c r="U399" s="1" t="n"/>
      <c r="V399" s="1" t="n"/>
    </row>
    <row r="400">
      <c r="A400" s="1" t="inlineStr">
        <is>
          <t>Diagnostic &amp; repair tools</t>
        </is>
      </c>
      <c r="B400" s="2" t="inlineStr">
        <is>
          <t>PPE - Rubber Boots</t>
        </is>
      </c>
      <c r="C400" s="2" t="inlineStr">
        <is>
          <t>17-F Safety Gear (PPE)</t>
        </is>
      </c>
      <c r="D400" s="1" t="inlineStr">
        <is>
          <t>Kaustubh</t>
        </is>
      </c>
      <c r="E400" s="1" t="inlineStr">
        <is>
          <t>1</t>
        </is>
      </c>
      <c r="F400" s="1" t="inlineStr">
        <is>
          <t>India</t>
        </is>
      </c>
      <c r="G400" s="1" t="n"/>
      <c r="H400" s="1" t="inlineStr">
        <is>
          <t>No</t>
        </is>
      </c>
      <c r="I400" s="1" t="n"/>
      <c r="J400" s="1" t="n"/>
      <c r="K400" s="1" t="inlineStr">
        <is>
          <t>Hold</t>
        </is>
      </c>
      <c r="L400" s="3" t="n">
        <v>17</v>
      </c>
      <c r="M400" s="4" t="b">
        <v>0</v>
      </c>
      <c r="N400" s="3" t="n">
        <v>6</v>
      </c>
      <c r="O400" s="1" t="n"/>
      <c r="P400" s="1" t="n"/>
      <c r="Q400" s="1" t="n"/>
      <c r="R400" s="1" t="n"/>
      <c r="S400" s="1" t="inlineStr">
        <is>
          <t>Mobile (travels with robot)</t>
        </is>
      </c>
      <c r="T400" s="2" t="inlineStr">
        <is>
          <t>Detail: Safety shoes.</t>
        </is>
      </c>
      <c r="U400" s="3" t="n">
        <v>538</v>
      </c>
      <c r="V400" s="1">
        <f>IF($K400="To be purchased",COUNTIF($K$2:$K400,"To be purchased"),"")</f>
        <v/>
      </c>
    </row>
    <row r="401">
      <c r="A401" s="1" t="inlineStr">
        <is>
          <t>Consumables</t>
        </is>
      </c>
      <c r="B401" s="2" t="inlineStr">
        <is>
          <t>Gasket Strip - Rubber Channel, Self-Adhesive (Tintvent), thin</t>
        </is>
      </c>
      <c r="C401" s="2" t="inlineStr">
        <is>
          <t>18-A Tapes</t>
        </is>
      </c>
      <c r="D401" s="1" t="inlineStr">
        <is>
          <t>Kaustubh</t>
        </is>
      </c>
      <c r="E401" s="1" t="inlineStr">
        <is>
          <t>1</t>
        </is>
      </c>
      <c r="F401" s="1" t="inlineStr">
        <is>
          <t>India</t>
        </is>
      </c>
      <c r="G401" s="1" t="n"/>
      <c r="H401" s="1" t="inlineStr">
        <is>
          <t>No</t>
        </is>
      </c>
      <c r="I401" s="5" t="n"/>
      <c r="J401" s="6">
        <f>IFERROR(HYPERLINK("https://docs.google.com/spreadsheets/d/10M8oEMfSST-xuPwcSARfQDNcQJ0xrCp8O9iHBGPAr34/edit?gid=1956219685&amp;range=A"&amp;MATCH("PR-2026-1667",'PR Lookup'!A:A,0),"PR-2026-1667"),"PR-2026-1667")</f>
        <v/>
      </c>
      <c r="K401" s="1" t="inlineStr">
        <is>
          <t>PR Raised</t>
        </is>
      </c>
      <c r="L401" s="3" t="n">
        <v>18</v>
      </c>
      <c r="M401" s="4" t="b">
        <v>0</v>
      </c>
      <c r="N401" s="3" t="n">
        <v>6</v>
      </c>
      <c r="O401" s="1" t="n"/>
      <c r="P401" s="1" t="n"/>
      <c r="Q401" s="1" t="n"/>
      <c r="R401" s="1" t="n"/>
      <c r="S401" s="1" t="inlineStr">
        <is>
          <t>NY Stationary (stays in NY inventory)</t>
        </is>
      </c>
      <c r="T401" s="1" t="n"/>
      <c r="U401" s="3" t="n">
        <v>114</v>
      </c>
      <c r="V401" s="1">
        <f>IF($K401="To be purchased",COUNTIF($K$2:$K401,"To be purchased"),"")</f>
        <v/>
      </c>
    </row>
    <row r="402">
      <c r="A402" s="1" t="inlineStr">
        <is>
          <t>Consumables</t>
        </is>
      </c>
      <c r="B402" s="2" t="inlineStr">
        <is>
          <t>Tape - Cloth (gaffer)</t>
        </is>
      </c>
      <c r="C402" s="2" t="inlineStr">
        <is>
          <t>18-A Tapes</t>
        </is>
      </c>
      <c r="D402" s="1" t="inlineStr">
        <is>
          <t>Badri</t>
        </is>
      </c>
      <c r="E402" s="7" t="inlineStr">
        <is>
          <t>5</t>
        </is>
      </c>
      <c r="F402" s="1" t="inlineStr">
        <is>
          <t>India</t>
        </is>
      </c>
      <c r="G402" s="1" t="n"/>
      <c r="H402" s="1" t="inlineStr">
        <is>
          <t>No</t>
        </is>
      </c>
      <c r="I402" s="1" t="n"/>
      <c r="J402" s="1" t="n"/>
      <c r="K402" s="1" t="inlineStr">
        <is>
          <t>PR Raised</t>
        </is>
      </c>
      <c r="L402" s="3" t="n">
        <v>18</v>
      </c>
      <c r="M402" s="4" t="b">
        <v>0</v>
      </c>
      <c r="N402" s="3" t="n">
        <v>6</v>
      </c>
      <c r="O402" s="1" t="n"/>
      <c r="P402" s="1" t="n"/>
      <c r="Q402" s="1" t="n"/>
      <c r="R402" s="1" t="n"/>
      <c r="S402" s="1" t="inlineStr">
        <is>
          <t>Mobile (travels with robot)</t>
        </is>
      </c>
      <c r="T402" s="1" t="n"/>
      <c r="U402" s="3" t="n">
        <v>207</v>
      </c>
      <c r="V402" s="1">
        <f>IF($K402="To be purchased",COUNTIF($K$2:$K402,"To be purchased"),"")</f>
        <v/>
      </c>
    </row>
    <row r="403">
      <c r="A403" s="1" t="inlineStr">
        <is>
          <t>Consumables</t>
        </is>
      </c>
      <c r="B403" s="2" t="inlineStr">
        <is>
          <t>Tape - Copper Foil</t>
        </is>
      </c>
      <c r="C403" s="2" t="inlineStr">
        <is>
          <t>18-A Tapes</t>
        </is>
      </c>
      <c r="D403" s="1" t="inlineStr">
        <is>
          <t>Badri</t>
        </is>
      </c>
      <c r="E403" s="7" t="inlineStr">
        <is>
          <t>2</t>
        </is>
      </c>
      <c r="F403" s="1" t="inlineStr">
        <is>
          <t>India</t>
        </is>
      </c>
      <c r="G403" s="1" t="n"/>
      <c r="H403" s="1" t="inlineStr">
        <is>
          <t>No</t>
        </is>
      </c>
      <c r="I403" s="1" t="n"/>
      <c r="J403" s="1" t="n"/>
      <c r="K403" s="1" t="inlineStr">
        <is>
          <t>PR Raised</t>
        </is>
      </c>
      <c r="L403" s="3" t="n">
        <v>18</v>
      </c>
      <c r="M403" s="4" t="b">
        <v>0</v>
      </c>
      <c r="N403" s="3" t="n">
        <v>6</v>
      </c>
      <c r="O403" s="1" t="n"/>
      <c r="P403" s="1" t="n"/>
      <c r="Q403" s="1" t="n"/>
      <c r="R403" s="1" t="n"/>
      <c r="S403" s="1" t="inlineStr">
        <is>
          <t>Mobile (travels with robot)</t>
        </is>
      </c>
      <c r="T403" s="1" t="n"/>
      <c r="U403" s="3" t="n">
        <v>209</v>
      </c>
      <c r="V403" s="1">
        <f>IF($K403="To be purchased",COUNTIF($K$2:$K403,"To be purchased"),"")</f>
        <v/>
      </c>
    </row>
    <row r="404">
      <c r="A404" s="1" t="inlineStr">
        <is>
          <t>Consumables</t>
        </is>
      </c>
      <c r="B404" s="2" t="inlineStr">
        <is>
          <t>Tape - Kapton (polyimide)</t>
        </is>
      </c>
      <c r="C404" s="2" t="inlineStr">
        <is>
          <t>18-A Tapes</t>
        </is>
      </c>
      <c r="D404" s="1" t="inlineStr">
        <is>
          <t>Badri</t>
        </is>
      </c>
      <c r="E404" s="7" t="inlineStr">
        <is>
          <t>1</t>
        </is>
      </c>
      <c r="F404" s="1" t="inlineStr">
        <is>
          <t>India</t>
        </is>
      </c>
      <c r="G404" s="1" t="n"/>
      <c r="H404" s="1" t="inlineStr">
        <is>
          <t>No</t>
        </is>
      </c>
      <c r="I404" s="1" t="n"/>
      <c r="J404" s="1" t="n"/>
      <c r="K404" s="1" t="inlineStr">
        <is>
          <t>PR Raised</t>
        </is>
      </c>
      <c r="L404" s="14" t="n">
        <v>18</v>
      </c>
      <c r="M404" s="4" t="b">
        <v>0</v>
      </c>
      <c r="N404" s="3" t="n">
        <v>6</v>
      </c>
      <c r="O404" s="1" t="n"/>
      <c r="P404" s="1" t="n"/>
      <c r="Q404" s="1" t="n"/>
      <c r="R404" s="1" t="n"/>
      <c r="S404" s="1" t="n"/>
      <c r="T404" s="2" t="inlineStr">
        <is>
          <t>[BOX ASSIGNED: 18 Consumables - was unassigned]</t>
        </is>
      </c>
      <c r="U404" s="3" t="n">
        <v>210</v>
      </c>
      <c r="V404" s="1">
        <f>IF($K404="To be purchased",COUNTIF($K$2:$K404,"To be purchased"),"")</f>
        <v/>
      </c>
    </row>
    <row r="405">
      <c r="A405" s="17" t="inlineStr">
        <is>
          <t>Consumables</t>
        </is>
      </c>
      <c r="B405" s="18" t="inlineStr">
        <is>
          <t>Tape - Double-Sided, 3M</t>
        </is>
      </c>
      <c r="C405" s="18" t="inlineStr">
        <is>
          <t>18-A Tapes</t>
        </is>
      </c>
      <c r="D405" s="17" t="inlineStr">
        <is>
          <t>Kaustubh</t>
        </is>
      </c>
      <c r="E405" s="17" t="n">
        <v>4</v>
      </c>
      <c r="F405" s="17" t="inlineStr">
        <is>
          <t>India</t>
        </is>
      </c>
      <c r="G405" s="17" t="n"/>
      <c r="H405" s="17" t="inlineStr">
        <is>
          <t>No</t>
        </is>
      </c>
      <c r="I405" s="17" t="n"/>
      <c r="J405" s="17" t="n"/>
      <c r="K405" s="17" t="inlineStr">
        <is>
          <t>In stock</t>
        </is>
      </c>
      <c r="L405" s="19" t="n">
        <v>18</v>
      </c>
      <c r="M405" s="20" t="b">
        <v>0</v>
      </c>
      <c r="N405" s="19" t="n">
        <v>6</v>
      </c>
      <c r="O405" s="17" t="n"/>
      <c r="P405" s="17" t="n"/>
      <c r="Q405" s="17" t="n"/>
      <c r="R405" s="17" t="n"/>
      <c r="S405" s="17" t="inlineStr">
        <is>
          <t>Mobile (travels with robot)</t>
        </is>
      </c>
      <c r="T405" s="18" t="inlineStr">
        <is>
          <t>[POSSIBLE DUPLICATE of source row 208. Previous status: In stock]</t>
        </is>
      </c>
      <c r="U405" s="19" t="n">
        <v>228</v>
      </c>
      <c r="V405" s="17">
        <f>IF($K405="To be purchased",COUNTIF($K$2:$K405,"To be purchased"),"")</f>
        <v/>
      </c>
    </row>
    <row r="406">
      <c r="A406" s="1" t="inlineStr">
        <is>
          <t>Consumables</t>
        </is>
      </c>
      <c r="B406" s="2" t="inlineStr">
        <is>
          <t>Tape - Duct</t>
        </is>
      </c>
      <c r="C406" s="2" t="inlineStr">
        <is>
          <t>18-A Tapes</t>
        </is>
      </c>
      <c r="D406" s="1" t="inlineStr">
        <is>
          <t>Kaustubh</t>
        </is>
      </c>
      <c r="E406" s="1" t="inlineStr">
        <is>
          <t>1</t>
        </is>
      </c>
      <c r="F406" s="1" t="inlineStr">
        <is>
          <t>Buy in US</t>
        </is>
      </c>
      <c r="G406" s="1" t="n"/>
      <c r="H406" s="1" t="inlineStr">
        <is>
          <t>No</t>
        </is>
      </c>
      <c r="I406" s="1" t="n"/>
      <c r="J406" s="1" t="n"/>
      <c r="K406" s="1" t="inlineStr">
        <is>
          <t>In stock</t>
        </is>
      </c>
      <c r="L406" s="3" t="n">
        <v>18</v>
      </c>
      <c r="M406" s="4" t="b">
        <v>0</v>
      </c>
      <c r="N406" s="3" t="n">
        <v>6</v>
      </c>
      <c r="O406" s="1" t="n"/>
      <c r="P406" s="1" t="n"/>
      <c r="Q406" s="1" t="n"/>
      <c r="R406" s="1" t="n"/>
      <c r="S406" s="1" t="inlineStr">
        <is>
          <t>Mobile (travels with robot)</t>
        </is>
      </c>
      <c r="T406" s="1" t="n"/>
      <c r="U406" s="3" t="n">
        <v>229</v>
      </c>
      <c r="V406" s="1">
        <f>IF($K406="To be purchased",COUNTIF($K$2:$K406,"To be purchased"),"")</f>
        <v/>
      </c>
    </row>
    <row r="407">
      <c r="A407" s="1" t="inlineStr">
        <is>
          <t>Consumables</t>
        </is>
      </c>
      <c r="B407" s="2" t="inlineStr">
        <is>
          <t>Tape - Thermal</t>
        </is>
      </c>
      <c r="C407" s="2" t="inlineStr">
        <is>
          <t>18-A Tapes</t>
        </is>
      </c>
      <c r="D407" s="1" t="inlineStr">
        <is>
          <t>Kaustubh</t>
        </is>
      </c>
      <c r="E407" s="1" t="inlineStr">
        <is>
          <t>1</t>
        </is>
      </c>
      <c r="F407" s="1" t="inlineStr">
        <is>
          <t>India</t>
        </is>
      </c>
      <c r="G407" s="1" t="n"/>
      <c r="H407" s="1" t="inlineStr">
        <is>
          <t>No</t>
        </is>
      </c>
      <c r="I407" s="1" t="n"/>
      <c r="J407" s="1" t="n"/>
      <c r="K407" s="1" t="inlineStr">
        <is>
          <t>In stock</t>
        </is>
      </c>
      <c r="L407" s="3" t="n">
        <v>18</v>
      </c>
      <c r="M407" s="4" t="b">
        <v>0</v>
      </c>
      <c r="N407" s="3" t="n">
        <v>6</v>
      </c>
      <c r="O407" s="1" t="n"/>
      <c r="P407" s="1" t="n"/>
      <c r="Q407" s="1" t="n"/>
      <c r="R407" s="1" t="n"/>
      <c r="S407" s="1" t="inlineStr">
        <is>
          <t>Mobile (travels with robot)</t>
        </is>
      </c>
      <c r="T407" s="1" t="n"/>
      <c r="U407" s="3" t="n">
        <v>230</v>
      </c>
      <c r="V407" s="1">
        <f>IF($K407="To be purchased",COUNTIF($K$2:$K407,"To be purchased"),"")</f>
        <v/>
      </c>
    </row>
    <row r="408">
      <c r="A408" s="1" t="inlineStr">
        <is>
          <t>Consumables</t>
        </is>
      </c>
      <c r="B408" s="2" t="inlineStr">
        <is>
          <t>Tape - Butyl</t>
        </is>
      </c>
      <c r="C408" s="2" t="inlineStr">
        <is>
          <t>18-A Tapes</t>
        </is>
      </c>
      <c r="D408" s="1" t="inlineStr">
        <is>
          <t>Kaustubh</t>
        </is>
      </c>
      <c r="E408" s="1" t="inlineStr">
        <is>
          <t>1</t>
        </is>
      </c>
      <c r="F408" s="1" t="inlineStr">
        <is>
          <t>Buy in US</t>
        </is>
      </c>
      <c r="G408" s="1" t="n"/>
      <c r="H408" s="1" t="inlineStr">
        <is>
          <t>No</t>
        </is>
      </c>
      <c r="I408" s="1" t="n"/>
      <c r="J408" s="1" t="n"/>
      <c r="K408" s="1" t="inlineStr">
        <is>
          <t>In stock</t>
        </is>
      </c>
      <c r="L408" s="3" t="n">
        <v>18</v>
      </c>
      <c r="M408" s="4" t="b">
        <v>0</v>
      </c>
      <c r="N408" s="3" t="n">
        <v>6</v>
      </c>
      <c r="O408" s="1" t="n"/>
      <c r="P408" s="1" t="n"/>
      <c r="Q408" s="1" t="n"/>
      <c r="R408" s="1" t="n"/>
      <c r="S408" s="1" t="inlineStr">
        <is>
          <t>Mobile (travels with robot)</t>
        </is>
      </c>
      <c r="T408" s="1" t="n"/>
      <c r="U408" s="3" t="n">
        <v>231</v>
      </c>
      <c r="V408" s="1">
        <f>IF($K408="To be purchased",COUNTIF($K$2:$K408,"To be purchased"),"")</f>
        <v/>
      </c>
    </row>
    <row r="409">
      <c r="A409" s="1" t="inlineStr">
        <is>
          <t>Consumables</t>
        </is>
      </c>
      <c r="B409" s="2" t="inlineStr">
        <is>
          <t>Tape - Gasket Foam, 6 mm, Single-Sided</t>
        </is>
      </c>
      <c r="C409" s="2" t="inlineStr">
        <is>
          <t>18-A Tapes</t>
        </is>
      </c>
      <c r="D409" s="1" t="inlineStr">
        <is>
          <t>Kaustubh</t>
        </is>
      </c>
      <c r="E409" s="1" t="inlineStr">
        <is>
          <t>1</t>
        </is>
      </c>
      <c r="F409" s="1" t="inlineStr">
        <is>
          <t>India</t>
        </is>
      </c>
      <c r="G409" s="1" t="n"/>
      <c r="H409" s="1" t="inlineStr">
        <is>
          <t>No</t>
        </is>
      </c>
      <c r="I409" s="1" t="n"/>
      <c r="J409" s="1" t="n"/>
      <c r="K409" s="1" t="inlineStr">
        <is>
          <t>In stock</t>
        </is>
      </c>
      <c r="L409" s="3" t="n">
        <v>18</v>
      </c>
      <c r="M409" s="4" t="b">
        <v>0</v>
      </c>
      <c r="N409" s="3" t="n">
        <v>6</v>
      </c>
      <c r="O409" s="1" t="n"/>
      <c r="P409" s="1" t="n"/>
      <c r="Q409" s="1" t="n"/>
      <c r="R409" s="1" t="n"/>
      <c r="S409" s="1" t="inlineStr">
        <is>
          <t>Mobile (travels with robot)</t>
        </is>
      </c>
      <c r="T409" s="1" t="n"/>
      <c r="U409" s="3" t="n">
        <v>232</v>
      </c>
      <c r="V409" s="1">
        <f>IF($K409="To be purchased",COUNTIF($K$2:$K409,"To be purchased"),"")</f>
        <v/>
      </c>
    </row>
    <row r="410">
      <c r="A410" s="1" t="inlineStr">
        <is>
          <t>Consumables</t>
        </is>
      </c>
      <c r="B410" s="2" t="inlineStr">
        <is>
          <t>Tape - Automotive Harness</t>
        </is>
      </c>
      <c r="C410" s="2" t="inlineStr">
        <is>
          <t>18-A Tapes</t>
        </is>
      </c>
      <c r="D410" s="1" t="inlineStr">
        <is>
          <t>Kaustubh</t>
        </is>
      </c>
      <c r="E410" s="1" t="inlineStr">
        <is>
          <t>1</t>
        </is>
      </c>
      <c r="F410" s="1" t="inlineStr">
        <is>
          <t>Buy in US</t>
        </is>
      </c>
      <c r="G410" s="1" t="n"/>
      <c r="H410" s="1" t="inlineStr">
        <is>
          <t>No</t>
        </is>
      </c>
      <c r="I410" s="1" t="n"/>
      <c r="J410" s="1" t="n"/>
      <c r="K410" s="1" t="inlineStr">
        <is>
          <t>In stock</t>
        </is>
      </c>
      <c r="L410" s="3" t="n">
        <v>18</v>
      </c>
      <c r="M410" s="4" t="b">
        <v>0</v>
      </c>
      <c r="N410" s="3" t="n">
        <v>6</v>
      </c>
      <c r="O410" s="1" t="n"/>
      <c r="P410" s="1" t="n"/>
      <c r="Q410" s="1" t="n"/>
      <c r="R410" s="1" t="n"/>
      <c r="S410" s="1" t="inlineStr">
        <is>
          <t>Mobile (travels with robot)</t>
        </is>
      </c>
      <c r="T410" s="1" t="n"/>
      <c r="U410" s="3" t="n">
        <v>233</v>
      </c>
      <c r="V410" s="1">
        <f>IF($K410="To be purchased",COUNTIF($K$2:$K410,"To be purchased"),"")</f>
        <v/>
      </c>
    </row>
    <row r="411">
      <c r="A411" s="1" t="inlineStr">
        <is>
          <t>Consumables</t>
        </is>
      </c>
      <c r="B411" s="2" t="inlineStr">
        <is>
          <t>Tape - Insulation (PVC electrical)</t>
        </is>
      </c>
      <c r="C411" s="2" t="inlineStr">
        <is>
          <t>18-A Tapes</t>
        </is>
      </c>
      <c r="D411" s="1" t="inlineStr">
        <is>
          <t>Kaustubh</t>
        </is>
      </c>
      <c r="E411" s="1" t="inlineStr">
        <is>
          <t>1</t>
        </is>
      </c>
      <c r="F411" s="1" t="inlineStr">
        <is>
          <t>Buy in US</t>
        </is>
      </c>
      <c r="G411" s="1" t="n"/>
      <c r="H411" s="1" t="inlineStr">
        <is>
          <t>No</t>
        </is>
      </c>
      <c r="I411" s="1" t="n"/>
      <c r="J411" s="1" t="n"/>
      <c r="K411" s="1" t="inlineStr">
        <is>
          <t>In stock</t>
        </is>
      </c>
      <c r="L411" s="3" t="n">
        <v>18</v>
      </c>
      <c r="M411" s="4" t="b">
        <v>0</v>
      </c>
      <c r="N411" s="3" t="n">
        <v>6</v>
      </c>
      <c r="O411" s="1" t="n"/>
      <c r="P411" s="1" t="n"/>
      <c r="Q411" s="1" t="n"/>
      <c r="R411" s="1" t="n"/>
      <c r="S411" s="1" t="inlineStr">
        <is>
          <t>Mobile (travels with robot)</t>
        </is>
      </c>
      <c r="T411" s="1" t="n"/>
      <c r="U411" s="3" t="n">
        <v>234</v>
      </c>
      <c r="V411" s="1">
        <f>IF($K411="To be purchased",COUNTIF($K$2:$K411,"To be purchased"),"")</f>
        <v/>
      </c>
    </row>
    <row r="412">
      <c r="A412" s="13" t="inlineStr">
        <is>
          <t>Consumables</t>
        </is>
      </c>
      <c r="B412" s="2" t="inlineStr">
        <is>
          <t>Tape - PTFE / Teflon Thread Seal, PTFE-12-10</t>
        </is>
      </c>
      <c r="C412" s="2" t="inlineStr">
        <is>
          <t>18-A Tapes</t>
        </is>
      </c>
      <c r="D412" s="1" t="inlineStr">
        <is>
          <t>Anand</t>
        </is>
      </c>
      <c r="E412" s="1" t="inlineStr">
        <is>
          <t>1</t>
        </is>
      </c>
      <c r="F412" s="1" t="inlineStr">
        <is>
          <t>India</t>
        </is>
      </c>
      <c r="G412" s="1" t="n"/>
      <c r="H412" s="1" t="inlineStr">
        <is>
          <t>No</t>
        </is>
      </c>
      <c r="I412" s="1" t="n"/>
      <c r="J412" s="1" t="n"/>
      <c r="K412" s="1" t="inlineStr">
        <is>
          <t>In stock</t>
        </is>
      </c>
      <c r="L412" s="14" t="n">
        <v>18</v>
      </c>
      <c r="M412" s="4" t="b">
        <v>0</v>
      </c>
      <c r="N412" s="3" t="n">
        <v>6</v>
      </c>
      <c r="O412" s="1" t="n"/>
      <c r="P412" s="1" t="n"/>
      <c r="Q412" s="1" t="n"/>
      <c r="R412" s="1" t="n"/>
      <c r="S412" s="1" t="inlineStr">
        <is>
          <t>Mobile (travels with robot)</t>
        </is>
      </c>
      <c r="T412" s="2" t="inlineStr">
        <is>
          <t>[BOX ASSIGNED: 18 Consumables - was unassigned]</t>
        </is>
      </c>
      <c r="U412" s="3" t="n">
        <v>620</v>
      </c>
      <c r="V412" s="1">
        <f>IF($K412="To be purchased",COUNTIF($K$2:$K412,"To be purchased"),"")</f>
        <v/>
      </c>
    </row>
    <row r="413">
      <c r="A413" s="1" t="inlineStr">
        <is>
          <t>Consumables</t>
        </is>
      </c>
      <c r="B413" s="2" t="inlineStr">
        <is>
          <t>Sealant - Polyurethane, Sika Sikaflex-221</t>
        </is>
      </c>
      <c r="C413" s="2" t="inlineStr">
        <is>
          <t>18-B Adhesives &amp; Sealants</t>
        </is>
      </c>
      <c r="D413" s="1" t="inlineStr">
        <is>
          <t>Kaustubh</t>
        </is>
      </c>
      <c r="E413" s="1" t="inlineStr">
        <is>
          <t>2</t>
        </is>
      </c>
      <c r="F413" s="1" t="inlineStr">
        <is>
          <t>Buy in US</t>
        </is>
      </c>
      <c r="G413" s="1" t="n"/>
      <c r="H413" s="1" t="inlineStr">
        <is>
          <t>No</t>
        </is>
      </c>
      <c r="I413" s="1" t="n"/>
      <c r="J413" s="1" t="n"/>
      <c r="K413" s="1" t="inlineStr">
        <is>
          <t>In stock</t>
        </is>
      </c>
      <c r="L413" s="3" t="n">
        <v>18</v>
      </c>
      <c r="M413" s="4" t="b">
        <v>0</v>
      </c>
      <c r="N413" s="3" t="n">
        <v>6</v>
      </c>
      <c r="O413" s="1" t="n"/>
      <c r="P413" s="1" t="n"/>
      <c r="Q413" s="1" t="n"/>
      <c r="R413" s="1" t="n"/>
      <c r="S413" s="1" t="inlineStr">
        <is>
          <t>Mobile (travels with robot)</t>
        </is>
      </c>
      <c r="T413" s="1" t="n"/>
      <c r="U413" s="3" t="n">
        <v>216</v>
      </c>
      <c r="V413" s="1">
        <f>IF($K413="To be purchased",COUNTIF($K$2:$K413,"To be purchased"),"")</f>
        <v/>
      </c>
    </row>
    <row r="414">
      <c r="A414" s="13" t="inlineStr">
        <is>
          <t>Consumables</t>
        </is>
      </c>
      <c r="B414" s="2" t="inlineStr">
        <is>
          <t>Adhesive - Hot Melt Glue Stick</t>
        </is>
      </c>
      <c r="C414" s="2" t="inlineStr">
        <is>
          <t>18-B Adhesives &amp; Sealants</t>
        </is>
      </c>
      <c r="D414" s="1" t="inlineStr">
        <is>
          <t>Kaustubh</t>
        </is>
      </c>
      <c r="E414" s="1" t="inlineStr">
        <is>
          <t>1</t>
        </is>
      </c>
      <c r="F414" s="1" t="inlineStr">
        <is>
          <t>Buy in US</t>
        </is>
      </c>
      <c r="G414" s="1" t="n"/>
      <c r="H414" s="1" t="inlineStr">
        <is>
          <t>No</t>
        </is>
      </c>
      <c r="I414" s="1" t="n"/>
      <c r="J414" s="1" t="n"/>
      <c r="K414" s="1" t="inlineStr">
        <is>
          <t>To be purchased</t>
        </is>
      </c>
      <c r="L414" s="14" t="n">
        <v>18</v>
      </c>
      <c r="M414" s="4" t="b">
        <v>0</v>
      </c>
      <c r="N414" s="3" t="n">
        <v>6</v>
      </c>
      <c r="O414" s="1" t="n"/>
      <c r="P414" s="1" t="n"/>
      <c r="Q414" s="1" t="n"/>
      <c r="R414" s="1" t="n"/>
      <c r="S414" s="1" t="inlineStr">
        <is>
          <t>NY Stationary (stays in NY inventory)</t>
        </is>
      </c>
      <c r="T414" s="2" t="inlineStr">
        <is>
          <t>[BOX CHANGED: 17 Diagnostic &amp; repair tools -&gt; 18 Consumables]</t>
        </is>
      </c>
      <c r="U414" s="3" t="n">
        <v>217</v>
      </c>
      <c r="V414" s="3">
        <f>IF($K414="To be purchased",COUNTIF($K$2:$K414,"To be purchased"),"")</f>
        <v/>
      </c>
    </row>
    <row r="415">
      <c r="A415" s="1" t="inlineStr">
        <is>
          <t>Consumables</t>
        </is>
      </c>
      <c r="B415" s="2" t="inlineStr">
        <is>
          <t>Adhesive - Cyanoacrylate, Metloc 743</t>
        </is>
      </c>
      <c r="C415" s="2" t="inlineStr">
        <is>
          <t>18-B Adhesives &amp; Sealants</t>
        </is>
      </c>
      <c r="D415" s="1" t="inlineStr">
        <is>
          <t>Kaustubh</t>
        </is>
      </c>
      <c r="E415" s="1" t="inlineStr">
        <is>
          <t>5</t>
        </is>
      </c>
      <c r="F415" s="1" t="inlineStr">
        <is>
          <t>Buy in US</t>
        </is>
      </c>
      <c r="G415" s="1" t="n"/>
      <c r="H415" s="1" t="inlineStr">
        <is>
          <t>No</t>
        </is>
      </c>
      <c r="I415" s="1" t="n"/>
      <c r="J415" s="1" t="n"/>
      <c r="K415" s="1" t="inlineStr">
        <is>
          <t>To be purchased</t>
        </is>
      </c>
      <c r="L415" s="3" t="n">
        <v>18</v>
      </c>
      <c r="M415" s="4" t="b">
        <v>0</v>
      </c>
      <c r="N415" s="3" t="n">
        <v>6</v>
      </c>
      <c r="O415" s="1" t="n"/>
      <c r="P415" s="1" t="n"/>
      <c r="Q415" s="1" t="n"/>
      <c r="R415" s="1" t="n"/>
      <c r="S415" s="1" t="inlineStr">
        <is>
          <t>Mobile (travels with robot)</t>
        </is>
      </c>
      <c r="T415" s="1" t="n"/>
      <c r="U415" s="3" t="n">
        <v>219</v>
      </c>
      <c r="V415" s="3">
        <f>IF($K415="To be purchased",COUNTIF($K$2:$K415,"To be purchased"),"")</f>
        <v/>
      </c>
    </row>
    <row r="416">
      <c r="A416" s="1" t="inlineStr">
        <is>
          <t>Consumables</t>
        </is>
      </c>
      <c r="B416" s="2" t="inlineStr">
        <is>
          <t>Adhesive - Epoxy Putty, M-Seal</t>
        </is>
      </c>
      <c r="C416" s="2" t="inlineStr">
        <is>
          <t>18-B Adhesives &amp; Sealants</t>
        </is>
      </c>
      <c r="D416" s="1" t="inlineStr">
        <is>
          <t>Kaustubh</t>
        </is>
      </c>
      <c r="E416" s="1" t="inlineStr">
        <is>
          <t>1</t>
        </is>
      </c>
      <c r="F416" s="1" t="inlineStr">
        <is>
          <t>Buy in US</t>
        </is>
      </c>
      <c r="G416" s="1" t="n"/>
      <c r="H416" s="1" t="inlineStr">
        <is>
          <t>No</t>
        </is>
      </c>
      <c r="I416" s="1" t="n"/>
      <c r="J416" s="1" t="n"/>
      <c r="K416" s="1" t="inlineStr">
        <is>
          <t>In stock</t>
        </is>
      </c>
      <c r="L416" s="3" t="n">
        <v>18</v>
      </c>
      <c r="M416" s="4" t="b">
        <v>0</v>
      </c>
      <c r="N416" s="3" t="n">
        <v>6</v>
      </c>
      <c r="O416" s="1" t="n"/>
      <c r="P416" s="1" t="n"/>
      <c r="Q416" s="1" t="n"/>
      <c r="R416" s="1" t="n"/>
      <c r="S416" s="1" t="inlineStr">
        <is>
          <t>NY Stationary (stays in NY inventory)</t>
        </is>
      </c>
      <c r="T416" s="1" t="n"/>
      <c r="U416" s="3" t="n">
        <v>225</v>
      </c>
      <c r="V416" s="1">
        <f>IF($K416="To be purchased",COUNTIF($K$2:$K416,"To be purchased"),"")</f>
        <v/>
      </c>
    </row>
    <row r="417">
      <c r="A417" s="1" t="inlineStr">
        <is>
          <t>Consumables</t>
        </is>
      </c>
      <c r="B417" s="2" t="inlineStr">
        <is>
          <t>Adhesive - Epoxy, Araldite</t>
        </is>
      </c>
      <c r="C417" s="2" t="inlineStr">
        <is>
          <t>18-B Adhesives &amp; Sealants</t>
        </is>
      </c>
      <c r="D417" s="1" t="inlineStr">
        <is>
          <t>Kaustubh</t>
        </is>
      </c>
      <c r="E417" s="1" t="inlineStr">
        <is>
          <t>1</t>
        </is>
      </c>
      <c r="F417" s="1" t="inlineStr">
        <is>
          <t>Buy in US</t>
        </is>
      </c>
      <c r="G417" s="1" t="n"/>
      <c r="H417" s="1" t="inlineStr">
        <is>
          <t>No</t>
        </is>
      </c>
      <c r="I417" s="1" t="n"/>
      <c r="J417" s="1" t="n"/>
      <c r="K417" s="1" t="inlineStr">
        <is>
          <t>To be purchased</t>
        </is>
      </c>
      <c r="L417" s="3" t="n">
        <v>18</v>
      </c>
      <c r="M417" s="4" t="b">
        <v>0</v>
      </c>
      <c r="N417" s="3" t="n">
        <v>6</v>
      </c>
      <c r="O417" s="1" t="n"/>
      <c r="P417" s="1" t="n"/>
      <c r="Q417" s="1" t="n"/>
      <c r="R417" s="1" t="n"/>
      <c r="S417" s="1" t="inlineStr">
        <is>
          <t>NY Stationary (stays in NY inventory)</t>
        </is>
      </c>
      <c r="T417" s="1" t="n"/>
      <c r="U417" s="3" t="n">
        <v>226</v>
      </c>
      <c r="V417" s="3">
        <f>IF($K417="To be purchased",COUNTIF($K$2:$K417,"To be purchased"),"")</f>
        <v/>
      </c>
    </row>
    <row r="418">
      <c r="A418" s="1" t="inlineStr">
        <is>
          <t>Consumables</t>
        </is>
      </c>
      <c r="B418" s="2" t="inlineStr">
        <is>
          <t>Threadlocker - Loctite 271 (high strength)</t>
        </is>
      </c>
      <c r="C418" s="2" t="inlineStr">
        <is>
          <t>18-C Threadlockers</t>
        </is>
      </c>
      <c r="D418" s="1" t="inlineStr">
        <is>
          <t>Kaustubh</t>
        </is>
      </c>
      <c r="E418" s="1" t="inlineStr">
        <is>
          <t>250ml</t>
        </is>
      </c>
      <c r="F418" s="1" t="inlineStr">
        <is>
          <t>India</t>
        </is>
      </c>
      <c r="G418" s="1" t="n"/>
      <c r="H418" s="1" t="inlineStr">
        <is>
          <t>No</t>
        </is>
      </c>
      <c r="I418" s="1" t="n"/>
      <c r="J418" s="1" t="n"/>
      <c r="K418" s="1" t="inlineStr">
        <is>
          <t>In stock</t>
        </is>
      </c>
      <c r="L418" s="3" t="n">
        <v>18</v>
      </c>
      <c r="M418" s="4" t="b">
        <v>0</v>
      </c>
      <c r="N418" s="3" t="n">
        <v>6</v>
      </c>
      <c r="O418" s="1" t="n"/>
      <c r="P418" s="1" t="n"/>
      <c r="Q418" s="1" t="n"/>
      <c r="R418" s="1" t="n"/>
      <c r="S418" s="1" t="inlineStr">
        <is>
          <t>Mobile (travels with robot)</t>
        </is>
      </c>
      <c r="T418" s="1" t="n"/>
      <c r="U418" s="3" t="n">
        <v>224</v>
      </c>
      <c r="V418" s="1">
        <f>IF($K418="To be purchased",COUNTIF($K$2:$K418,"To be purchased"),"")</f>
        <v/>
      </c>
    </row>
    <row r="419">
      <c r="A419" s="1" t="inlineStr">
        <is>
          <t>Consumables</t>
        </is>
      </c>
      <c r="B419" s="2" t="inlineStr">
        <is>
          <t>Blade - Angle Grinder, Cutting</t>
        </is>
      </c>
      <c r="C419" s="2" t="inlineStr">
        <is>
          <t>18-D Abrasives &amp; Blades</t>
        </is>
      </c>
      <c r="D419" s="1" t="inlineStr">
        <is>
          <t>Kaustubh</t>
        </is>
      </c>
      <c r="E419" s="1" t="inlineStr">
        <is>
          <t>1</t>
        </is>
      </c>
      <c r="F419" s="1" t="inlineStr">
        <is>
          <t>Buy in US</t>
        </is>
      </c>
      <c r="G419" s="1" t="n"/>
      <c r="H419" s="1" t="inlineStr">
        <is>
          <t>No</t>
        </is>
      </c>
      <c r="I419" s="1" t="n"/>
      <c r="J419" s="1" t="n"/>
      <c r="K419" s="1" t="inlineStr">
        <is>
          <t>In stock</t>
        </is>
      </c>
      <c r="L419" s="3" t="n">
        <v>18</v>
      </c>
      <c r="M419" s="4" t="b">
        <v>0</v>
      </c>
      <c r="N419" s="3" t="n">
        <v>6</v>
      </c>
      <c r="O419" s="1" t="n"/>
      <c r="P419" s="1" t="n"/>
      <c r="Q419" s="1" t="n"/>
      <c r="R419" s="1" t="n"/>
      <c r="S419" s="1" t="inlineStr">
        <is>
          <t>NY Stationary (stays in NY inventory)</t>
        </is>
      </c>
      <c r="T419" s="1" t="n"/>
      <c r="U419" s="3" t="n">
        <v>235</v>
      </c>
      <c r="V419" s="1">
        <f>IF($K419="To be purchased",COUNTIF($K$2:$K419,"To be purchased"),"")</f>
        <v/>
      </c>
    </row>
    <row r="420">
      <c r="A420" s="1" t="inlineStr">
        <is>
          <t>Consumables</t>
        </is>
      </c>
      <c r="B420" s="2" t="inlineStr">
        <is>
          <t>Blade - Angle Grinder, Grinding</t>
        </is>
      </c>
      <c r="C420" s="2" t="inlineStr">
        <is>
          <t>18-D Abrasives &amp; Blades</t>
        </is>
      </c>
      <c r="D420" s="1" t="inlineStr">
        <is>
          <t>Kaustubh</t>
        </is>
      </c>
      <c r="E420" s="1" t="inlineStr">
        <is>
          <t>1</t>
        </is>
      </c>
      <c r="F420" s="1" t="inlineStr">
        <is>
          <t>Buy in US</t>
        </is>
      </c>
      <c r="G420" s="1" t="n"/>
      <c r="H420" s="1" t="inlineStr">
        <is>
          <t>No</t>
        </is>
      </c>
      <c r="I420" s="1" t="n"/>
      <c r="J420" s="1" t="n"/>
      <c r="K420" s="1" t="inlineStr">
        <is>
          <t>In stock</t>
        </is>
      </c>
      <c r="L420" s="3" t="n">
        <v>18</v>
      </c>
      <c r="M420" s="4" t="b">
        <v>0</v>
      </c>
      <c r="N420" s="3" t="n">
        <v>6</v>
      </c>
      <c r="O420" s="1" t="n"/>
      <c r="P420" s="1" t="n"/>
      <c r="Q420" s="1" t="n"/>
      <c r="R420" s="1" t="n"/>
      <c r="S420" s="1" t="inlineStr">
        <is>
          <t>NY Stationary (stays in NY inventory)</t>
        </is>
      </c>
      <c r="T420" s="1" t="n"/>
      <c r="U420" s="3" t="n">
        <v>236</v>
      </c>
      <c r="V420" s="1">
        <f>IF($K420="To be purchased",COUNTIF($K$2:$K420,"To be purchased"),"")</f>
        <v/>
      </c>
    </row>
    <row r="421">
      <c r="A421" s="1" t="inlineStr">
        <is>
          <t>Consumables</t>
        </is>
      </c>
      <c r="B421" s="2" t="inlineStr">
        <is>
          <t>Blade - Hacksaw</t>
        </is>
      </c>
      <c r="C421" s="2" t="inlineStr">
        <is>
          <t>18-D Abrasives &amp; Blades</t>
        </is>
      </c>
      <c r="D421" s="1" t="inlineStr">
        <is>
          <t>Kaustubh</t>
        </is>
      </c>
      <c r="E421" s="1" t="inlineStr">
        <is>
          <t>1</t>
        </is>
      </c>
      <c r="F421" s="1" t="inlineStr">
        <is>
          <t>Buy in US</t>
        </is>
      </c>
      <c r="G421" s="1" t="n"/>
      <c r="H421" s="1" t="inlineStr">
        <is>
          <t>No</t>
        </is>
      </c>
      <c r="I421" s="1" t="n"/>
      <c r="J421" s="1" t="n"/>
      <c r="K421" s="1" t="inlineStr">
        <is>
          <t>To be purchased</t>
        </is>
      </c>
      <c r="L421" s="3" t="n">
        <v>18</v>
      </c>
      <c r="M421" s="4" t="b">
        <v>0</v>
      </c>
      <c r="N421" s="3" t="n">
        <v>6</v>
      </c>
      <c r="O421" s="1" t="n"/>
      <c r="P421" s="1" t="n"/>
      <c r="Q421" s="1" t="n"/>
      <c r="R421" s="1" t="n"/>
      <c r="S421" s="1" t="inlineStr">
        <is>
          <t>NY Stationary (stays in NY inventory)</t>
        </is>
      </c>
      <c r="T421" s="1" t="n"/>
      <c r="U421" s="3" t="n">
        <v>243</v>
      </c>
      <c r="V421" s="3">
        <f>IF($K421="To be purchased",COUNTIF($K$2:$K421,"To be purchased"),"")</f>
        <v/>
      </c>
    </row>
    <row r="422">
      <c r="A422" s="1" t="inlineStr">
        <is>
          <t>Consumables</t>
        </is>
      </c>
      <c r="B422" s="2" t="inlineStr">
        <is>
          <t>Abrasive - Mirka Abranet Disc, 180 / 120 / 220 grit</t>
        </is>
      </c>
      <c r="C422" s="2" t="inlineStr">
        <is>
          <t>18-D Abrasives &amp; Blades</t>
        </is>
      </c>
      <c r="D422" s="1" t="inlineStr">
        <is>
          <t>Kaustubh</t>
        </is>
      </c>
      <c r="E422" s="1" t="n"/>
      <c r="F422" s="1" t="inlineStr">
        <is>
          <t>India</t>
        </is>
      </c>
      <c r="G422" s="1" t="n"/>
      <c r="H422" s="1" t="inlineStr">
        <is>
          <t>No</t>
        </is>
      </c>
      <c r="I422" s="1" t="n"/>
      <c r="J422" s="1" t="n"/>
      <c r="K422" s="1" t="inlineStr">
        <is>
          <t>In stock</t>
        </is>
      </c>
      <c r="L422" s="3" t="n">
        <v>18</v>
      </c>
      <c r="M422" s="4" t="b">
        <v>0</v>
      </c>
      <c r="N422" s="3" t="n">
        <v>6</v>
      </c>
      <c r="O422" s="1" t="n"/>
      <c r="P422" s="1" t="n"/>
      <c r="Q422" s="1" t="n"/>
      <c r="R422" s="1" t="n"/>
      <c r="S422" s="1" t="inlineStr">
        <is>
          <t>Mobile (travels with robot)</t>
        </is>
      </c>
      <c r="T422" s="2" t="inlineStr">
        <is>
          <t>To be confirmed by @mohit patil</t>
        </is>
      </c>
      <c r="U422" s="3" t="n">
        <v>351</v>
      </c>
      <c r="V422" s="1">
        <f>IF($K422="To be purchased",COUNTIF($K$2:$K422,"To be purchased"),"")</f>
        <v/>
      </c>
    </row>
    <row r="423">
      <c r="A423" s="1" t="inlineStr">
        <is>
          <t>Consumables</t>
        </is>
      </c>
      <c r="B423" s="2" t="inlineStr">
        <is>
          <t>Abrasive - Mirka Interface Pad / Pad Saver, MIW9514611</t>
        </is>
      </c>
      <c r="C423" s="2" t="inlineStr">
        <is>
          <t>18-D Abrasives &amp; Blades</t>
        </is>
      </c>
      <c r="D423" s="1" t="inlineStr">
        <is>
          <t>SANKALP</t>
        </is>
      </c>
      <c r="E423" s="1" t="inlineStr">
        <is>
          <t>1</t>
        </is>
      </c>
      <c r="F423" s="1" t="inlineStr">
        <is>
          <t>India</t>
        </is>
      </c>
      <c r="G423" s="1" t="n"/>
      <c r="H423" s="1" t="inlineStr">
        <is>
          <t>No</t>
        </is>
      </c>
      <c r="I423" s="1" t="n"/>
      <c r="J423" s="1" t="n"/>
      <c r="K423" s="1" t="inlineStr">
        <is>
          <t>In stock</t>
        </is>
      </c>
      <c r="L423" s="3" t="n">
        <v>18</v>
      </c>
      <c r="M423" s="4" t="b">
        <v>0</v>
      </c>
      <c r="N423" s="3" t="n">
        <v>6</v>
      </c>
      <c r="O423" s="1" t="n"/>
      <c r="P423" s="1" t="n"/>
      <c r="Q423" s="1" t="n"/>
      <c r="R423" s="1" t="n"/>
      <c r="S423" s="1" t="n"/>
      <c r="T423" s="2" t="inlineStr">
        <is>
          <t>MAY BE REQUIRED</t>
        </is>
      </c>
      <c r="U423" s="3" t="n">
        <v>433</v>
      </c>
      <c r="V423" s="1">
        <f>IF($K423="To be purchased",COUNTIF($K$2:$K423,"To be purchased"),"")</f>
        <v/>
      </c>
    </row>
    <row r="424">
      <c r="A424" s="1" t="inlineStr">
        <is>
          <t>Consumables</t>
        </is>
      </c>
      <c r="B424" s="2" t="inlineStr">
        <is>
          <t>Chemical - Isopropyl Alcohol (IPA)</t>
        </is>
      </c>
      <c r="C424" s="2" t="inlineStr">
        <is>
          <t>18-E Chemicals &amp; Lubricants</t>
        </is>
      </c>
      <c r="D424" s="1" t="inlineStr">
        <is>
          <t>Kaustubh</t>
        </is>
      </c>
      <c r="E424" s="1" t="inlineStr">
        <is>
          <t>1</t>
        </is>
      </c>
      <c r="F424" s="1" t="inlineStr">
        <is>
          <t>Buy in US</t>
        </is>
      </c>
      <c r="G424" s="1" t="n"/>
      <c r="H424" s="1" t="inlineStr">
        <is>
          <t>No</t>
        </is>
      </c>
      <c r="I424" s="1" t="n"/>
      <c r="J424" s="1" t="n"/>
      <c r="K424" s="1" t="inlineStr">
        <is>
          <t>To be purchased</t>
        </is>
      </c>
      <c r="L424" s="3" t="n">
        <v>18</v>
      </c>
      <c r="M424" s="4" t="b">
        <v>0</v>
      </c>
      <c r="N424" s="3" t="n">
        <v>6</v>
      </c>
      <c r="O424" s="1" t="n"/>
      <c r="P424" s="1" t="n"/>
      <c r="Q424" s="1" t="n"/>
      <c r="R424" s="1" t="n"/>
      <c r="S424" s="1" t="inlineStr">
        <is>
          <t>Mobile (travels with robot)</t>
        </is>
      </c>
      <c r="T424" s="1" t="n"/>
      <c r="U424" s="3" t="n">
        <v>237</v>
      </c>
      <c r="V424" s="3">
        <f>IF($K424="To be purchased",COUNTIF($K$2:$K424,"To be purchased"),"")</f>
        <v/>
      </c>
    </row>
    <row r="425">
      <c r="A425" s="17" t="inlineStr">
        <is>
          <t>Consumables</t>
        </is>
      </c>
      <c r="B425" s="18" t="inlineStr">
        <is>
          <t>Paint - Spray, General Purpose</t>
        </is>
      </c>
      <c r="C425" s="18" t="inlineStr">
        <is>
          <t>18-E Chemicals &amp; Lubricants</t>
        </is>
      </c>
      <c r="D425" s="17" t="inlineStr">
        <is>
          <t>Kaustubh</t>
        </is>
      </c>
      <c r="E425" s="17" t="n">
        <v>2</v>
      </c>
      <c r="F425" s="17" t="inlineStr">
        <is>
          <t>Buy in US</t>
        </is>
      </c>
      <c r="G425" s="17" t="n"/>
      <c r="H425" s="17" t="inlineStr">
        <is>
          <t>No</t>
        </is>
      </c>
      <c r="I425" s="17" t="n"/>
      <c r="J425" s="17" t="n"/>
      <c r="K425" s="17" t="inlineStr">
        <is>
          <t>To be purchased</t>
        </is>
      </c>
      <c r="L425" s="19" t="n">
        <v>18</v>
      </c>
      <c r="M425" s="20" t="b">
        <v>0</v>
      </c>
      <c r="N425" s="19" t="n">
        <v>6</v>
      </c>
      <c r="O425" s="17" t="n"/>
      <c r="P425" s="17" t="n"/>
      <c r="Q425" s="17" t="n"/>
      <c r="R425" s="17" t="n"/>
      <c r="S425" s="17" t="inlineStr">
        <is>
          <t>Mobile (travels with robot)</t>
        </is>
      </c>
      <c r="T425" s="18" t="inlineStr">
        <is>
          <t>This is PS Grey Spray Paint for robot</t>
        </is>
      </c>
      <c r="U425" s="19" t="n">
        <v>238</v>
      </c>
      <c r="V425" s="19">
        <f>IF($K425="To be purchased",COUNTIF($K$2:$K425,"To be purchased"),"")</f>
        <v/>
      </c>
    </row>
    <row r="426">
      <c r="A426" s="1" t="inlineStr">
        <is>
          <t>Consumables</t>
        </is>
      </c>
      <c r="B426" s="2" t="inlineStr">
        <is>
          <t>Lubricant - Tapping Oil</t>
        </is>
      </c>
      <c r="C426" s="2" t="inlineStr">
        <is>
          <t>18-E Chemicals &amp; Lubricants</t>
        </is>
      </c>
      <c r="D426" s="1" t="inlineStr">
        <is>
          <t>Kaustubh</t>
        </is>
      </c>
      <c r="E426" s="1" t="inlineStr">
        <is>
          <t>1</t>
        </is>
      </c>
      <c r="F426" s="1" t="inlineStr">
        <is>
          <t>Buy in US</t>
        </is>
      </c>
      <c r="G426" s="1" t="n"/>
      <c r="H426" s="1" t="inlineStr">
        <is>
          <t>No</t>
        </is>
      </c>
      <c r="I426" s="1" t="n"/>
      <c r="J426" s="1" t="n"/>
      <c r="K426" s="1" t="inlineStr">
        <is>
          <t>To be purchased</t>
        </is>
      </c>
      <c r="L426" s="3" t="n">
        <v>18</v>
      </c>
      <c r="M426" s="4" t="b">
        <v>0</v>
      </c>
      <c r="N426" s="3" t="n">
        <v>6</v>
      </c>
      <c r="O426" s="1" t="n"/>
      <c r="P426" s="1" t="n"/>
      <c r="Q426" s="1" t="n"/>
      <c r="R426" s="1" t="n"/>
      <c r="S426" s="1" t="inlineStr">
        <is>
          <t>NY Stationary (stays in NY inventory)</t>
        </is>
      </c>
      <c r="T426" s="1" t="n"/>
      <c r="U426" s="3" t="n">
        <v>241</v>
      </c>
      <c r="V426" s="3">
        <f>IF($K426="To be purchased",COUNTIF($K$2:$K426,"To be purchased"),"")</f>
        <v/>
      </c>
    </row>
    <row r="427">
      <c r="A427" s="1" t="inlineStr">
        <is>
          <t>Consumables</t>
        </is>
      </c>
      <c r="B427" s="2" t="inlineStr">
        <is>
          <t>Lubricant - Cutting Oil</t>
        </is>
      </c>
      <c r="C427" s="2" t="inlineStr">
        <is>
          <t>18-E Chemicals &amp; Lubricants</t>
        </is>
      </c>
      <c r="D427" s="1" t="inlineStr">
        <is>
          <t>Kaustubh</t>
        </is>
      </c>
      <c r="E427" s="1" t="inlineStr">
        <is>
          <t>1</t>
        </is>
      </c>
      <c r="F427" s="1" t="inlineStr">
        <is>
          <t>Buy in US</t>
        </is>
      </c>
      <c r="G427" s="1" t="n"/>
      <c r="H427" s="1" t="inlineStr">
        <is>
          <t>No</t>
        </is>
      </c>
      <c r="I427" s="1" t="n"/>
      <c r="J427" s="1" t="n"/>
      <c r="K427" s="1" t="inlineStr">
        <is>
          <t>To be purchased</t>
        </is>
      </c>
      <c r="L427" s="3" t="n">
        <v>18</v>
      </c>
      <c r="M427" s="4" t="b">
        <v>0</v>
      </c>
      <c r="N427" s="3" t="n">
        <v>6</v>
      </c>
      <c r="O427" s="1" t="n"/>
      <c r="P427" s="1" t="n"/>
      <c r="Q427" s="1" t="n"/>
      <c r="R427" s="1" t="n"/>
      <c r="S427" s="1" t="inlineStr">
        <is>
          <t>NY Stationary (stays in NY inventory)</t>
        </is>
      </c>
      <c r="T427" s="1" t="n"/>
      <c r="U427" s="3" t="n">
        <v>242</v>
      </c>
      <c r="V427" s="3">
        <f>IF($K427="To be purchased",COUNTIF($K$2:$K427,"To be purchased"),"")</f>
        <v/>
      </c>
    </row>
    <row r="428">
      <c r="A428" s="1" t="inlineStr">
        <is>
          <t>Consumables</t>
        </is>
      </c>
      <c r="B428" s="2" t="inlineStr">
        <is>
          <t>Filament - PLA+, eSun</t>
        </is>
      </c>
      <c r="C428" s="2" t="inlineStr">
        <is>
          <t>18-F 3D Printing Filament</t>
        </is>
      </c>
      <c r="D428" s="1" t="inlineStr">
        <is>
          <t>Kaustubh</t>
        </is>
      </c>
      <c r="E428" s="1" t="inlineStr">
        <is>
          <t>2</t>
        </is>
      </c>
      <c r="F428" s="1" t="inlineStr">
        <is>
          <t>Buy in US</t>
        </is>
      </c>
      <c r="G428" s="1" t="n"/>
      <c r="H428" s="1" t="inlineStr">
        <is>
          <t>No</t>
        </is>
      </c>
      <c r="I428" s="1" t="n"/>
      <c r="J428" s="1" t="n"/>
      <c r="K428" s="1" t="inlineStr">
        <is>
          <t>In stock</t>
        </is>
      </c>
      <c r="L428" s="3" t="n">
        <v>18</v>
      </c>
      <c r="M428" s="4" t="b">
        <v>0</v>
      </c>
      <c r="N428" s="3" t="n">
        <v>6</v>
      </c>
      <c r="O428" s="1" t="n"/>
      <c r="P428" s="1" t="n"/>
      <c r="Q428" s="1" t="n"/>
      <c r="R428" s="1" t="n"/>
      <c r="S428" s="1" t="inlineStr">
        <is>
          <t>Mobile (travels with robot)</t>
        </is>
      </c>
      <c r="T428" s="1" t="n"/>
      <c r="U428" s="3" t="n">
        <v>213</v>
      </c>
      <c r="V428" s="1">
        <f>IF($K428="To be purchased",COUNTIF($K$2:$K428,"To be purchased"),"")</f>
        <v/>
      </c>
    </row>
    <row r="429">
      <c r="A429" s="1" t="inlineStr">
        <is>
          <t>Consumables</t>
        </is>
      </c>
      <c r="B429" s="2" t="inlineStr">
        <is>
          <t>Filament - PETG, eSun</t>
        </is>
      </c>
      <c r="C429" s="2" t="inlineStr">
        <is>
          <t>18-F 3D Printing Filament</t>
        </is>
      </c>
      <c r="D429" s="1" t="inlineStr">
        <is>
          <t>Kaustubh</t>
        </is>
      </c>
      <c r="E429" s="1" t="inlineStr">
        <is>
          <t>2</t>
        </is>
      </c>
      <c r="F429" s="1" t="inlineStr">
        <is>
          <t>Buy in US</t>
        </is>
      </c>
      <c r="G429" s="1" t="n"/>
      <c r="H429" s="1" t="inlineStr">
        <is>
          <t>No</t>
        </is>
      </c>
      <c r="I429" s="1" t="n"/>
      <c r="J429" s="1" t="n"/>
      <c r="K429" s="1" t="inlineStr">
        <is>
          <t>In stock</t>
        </is>
      </c>
      <c r="L429" s="3" t="n">
        <v>18</v>
      </c>
      <c r="M429" s="4" t="b">
        <v>0</v>
      </c>
      <c r="N429" s="3" t="n">
        <v>6</v>
      </c>
      <c r="O429" s="1" t="n"/>
      <c r="P429" s="1" t="n"/>
      <c r="Q429" s="1" t="n"/>
      <c r="R429" s="1" t="n"/>
      <c r="S429" s="1" t="inlineStr">
        <is>
          <t>Mobile (travels with robot)</t>
        </is>
      </c>
      <c r="T429" s="1" t="n"/>
      <c r="U429" s="3" t="n">
        <v>214</v>
      </c>
      <c r="V429" s="1">
        <f>IF($K429="To be purchased",COUNTIF($K$2:$K429,"To be purchased"),"")</f>
        <v/>
      </c>
    </row>
    <row r="430">
      <c r="A430" s="1" t="inlineStr">
        <is>
          <t>Consumables</t>
        </is>
      </c>
      <c r="B430" s="2" t="inlineStr">
        <is>
          <t>Filament - TPU, eSun</t>
        </is>
      </c>
      <c r="C430" s="2" t="inlineStr">
        <is>
          <t>18-F 3D Printing Filament</t>
        </is>
      </c>
      <c r="D430" s="1" t="inlineStr">
        <is>
          <t>Kaustubh</t>
        </is>
      </c>
      <c r="E430" s="1" t="inlineStr">
        <is>
          <t>2</t>
        </is>
      </c>
      <c r="F430" s="1" t="inlineStr">
        <is>
          <t>Buy in US</t>
        </is>
      </c>
      <c r="G430" s="1" t="n"/>
      <c r="H430" s="1" t="inlineStr">
        <is>
          <t>No</t>
        </is>
      </c>
      <c r="I430" s="1" t="n"/>
      <c r="J430" s="1" t="n"/>
      <c r="K430" s="1" t="inlineStr">
        <is>
          <t>In stock</t>
        </is>
      </c>
      <c r="L430" s="3" t="n">
        <v>18</v>
      </c>
      <c r="M430" s="4" t="b">
        <v>0</v>
      </c>
      <c r="N430" s="3" t="n">
        <v>6</v>
      </c>
      <c r="O430" s="1" t="n"/>
      <c r="P430" s="1" t="n"/>
      <c r="Q430" s="1" t="n"/>
      <c r="R430" s="1" t="n"/>
      <c r="S430" s="1" t="inlineStr">
        <is>
          <t>Mobile (travels with robot)</t>
        </is>
      </c>
      <c r="T430" s="1" t="n"/>
      <c r="U430" s="3" t="n">
        <v>215</v>
      </c>
      <c r="V430" s="1">
        <f>IF($K430="To be purchased",COUNTIF($K$2:$K430,"To be purchased"),"")</f>
        <v/>
      </c>
    </row>
    <row r="431">
      <c r="A431" s="1" t="inlineStr">
        <is>
          <t>Consumables</t>
        </is>
      </c>
      <c r="B431" s="2" t="inlineStr">
        <is>
          <t>Diffuser Sheets</t>
        </is>
      </c>
      <c r="C431" s="2" t="inlineStr">
        <is>
          <t>18-G Filters and sheets</t>
        </is>
      </c>
      <c r="D431" s="1" t="inlineStr">
        <is>
          <t>Kaustubh</t>
        </is>
      </c>
      <c r="E431" s="1" t="inlineStr">
        <is>
          <t>2</t>
        </is>
      </c>
      <c r="F431" s="1" t="inlineStr">
        <is>
          <t>India</t>
        </is>
      </c>
      <c r="G431" s="1" t="n"/>
      <c r="H431" s="1" t="inlineStr">
        <is>
          <t>No</t>
        </is>
      </c>
      <c r="I431" s="1" t="n"/>
      <c r="J431" s="1" t="n"/>
      <c r="K431" s="1" t="inlineStr">
        <is>
          <t>In stock</t>
        </is>
      </c>
      <c r="L431" s="3" t="n">
        <v>18</v>
      </c>
      <c r="M431" s="4" t="b">
        <v>0</v>
      </c>
      <c r="N431" s="3" t="n">
        <v>6</v>
      </c>
      <c r="O431" s="1" t="n"/>
      <c r="P431" s="1" t="n"/>
      <c r="Q431" s="1" t="n"/>
      <c r="R431" s="1" t="n"/>
      <c r="S431" s="1" t="inlineStr">
        <is>
          <t>Mobile (travels with robot)</t>
        </is>
      </c>
      <c r="T431" s="1" t="n"/>
      <c r="U431" s="3" t="n">
        <v>215</v>
      </c>
      <c r="V431" s="1">
        <f>IF($K431="To be purchased",COUNTIF($K$2:$K431,"To be purchased"),"")</f>
        <v/>
      </c>
    </row>
    <row r="432">
      <c r="A432" s="13" t="inlineStr">
        <is>
          <t>Consumables</t>
        </is>
      </c>
      <c r="B432" s="2" t="inlineStr">
        <is>
          <t>Filter - Foam, 40 ppi - fan intake</t>
        </is>
      </c>
      <c r="C432" s="2" t="inlineStr">
        <is>
          <t>18-G Filters</t>
        </is>
      </c>
      <c r="D432" s="1" t="inlineStr">
        <is>
          <t>Kaustubh</t>
        </is>
      </c>
      <c r="E432" s="1" t="inlineStr">
        <is>
          <t>1.5*2 m</t>
        </is>
      </c>
      <c r="F432" s="1" t="inlineStr">
        <is>
          <t>India</t>
        </is>
      </c>
      <c r="G432" s="1" t="n"/>
      <c r="H432" s="1" t="inlineStr">
        <is>
          <t>No</t>
        </is>
      </c>
      <c r="I432" s="16" t="n">
        <v>4</v>
      </c>
      <c r="J432" s="6">
        <f>IFERROR(HYPERLINK("https://docs.google.com/spreadsheets/d/10M8oEMfSST-xuPwcSARfQDNcQJ0xrCp8O9iHBGPAr34/edit?gid=1956219685&amp;range=A"&amp;MATCH("PR-2026-1639",'PR Lookup'!A:A,0),"PR-2026-1639"),"PR-2026-1639")</f>
        <v/>
      </c>
      <c r="K432" s="1" t="inlineStr">
        <is>
          <t>PR Raised</t>
        </is>
      </c>
      <c r="L432" s="14" t="n">
        <v>18</v>
      </c>
      <c r="M432" s="4" t="b">
        <v>0</v>
      </c>
      <c r="N432" s="3" t="n">
        <v>6</v>
      </c>
      <c r="O432" s="1" t="n"/>
      <c r="P432" s="1" t="n"/>
      <c r="Q432" s="1" t="n"/>
      <c r="R432" s="1" t="n"/>
      <c r="S432" s="1" t="inlineStr">
        <is>
          <t>Mobile (travels with robot)</t>
        </is>
      </c>
      <c r="T432" s="2" t="inlineStr">
        <is>
          <t>[BOX CHANGED: 10 Power &amp; Switching -&gt; 18 Consumables]</t>
        </is>
      </c>
      <c r="U432" s="3" t="n">
        <v>218</v>
      </c>
      <c r="V432" s="1">
        <f>IF($K432="To be purchased",COUNTIF($K$2:$K432,"To be purchased"),"")</f>
        <v/>
      </c>
    </row>
    <row r="433">
      <c r="A433" s="1" t="inlineStr">
        <is>
          <t>Consumables</t>
        </is>
      </c>
      <c r="B433" s="2" t="inlineStr">
        <is>
          <t>Dust Bag - Mirka, 8999000211</t>
        </is>
      </c>
      <c r="C433" s="2" t="inlineStr">
        <is>
          <t>18-G Filters</t>
        </is>
      </c>
      <c r="D433" s="1" t="inlineStr">
        <is>
          <t>Kaustubh</t>
        </is>
      </c>
      <c r="E433" s="1" t="n"/>
      <c r="F433" s="1" t="inlineStr">
        <is>
          <t>India</t>
        </is>
      </c>
      <c r="G433" s="1" t="n"/>
      <c r="H433" s="1" t="inlineStr">
        <is>
          <t>No</t>
        </is>
      </c>
      <c r="I433" s="1" t="n"/>
      <c r="J433" s="1" t="n"/>
      <c r="K433" s="1" t="inlineStr">
        <is>
          <t>In stock</t>
        </is>
      </c>
      <c r="L433" s="3" t="n">
        <v>18</v>
      </c>
      <c r="M433" s="4" t="b">
        <v>0</v>
      </c>
      <c r="N433" s="3" t="n">
        <v>6</v>
      </c>
      <c r="O433" s="1" t="n"/>
      <c r="P433" s="1" t="n"/>
      <c r="Q433" s="1" t="n"/>
      <c r="R433" s="1" t="n"/>
      <c r="S433" s="1" t="inlineStr">
        <is>
          <t>Mobile (travels with robot)</t>
        </is>
      </c>
      <c r="T433" s="1" t="n"/>
      <c r="U433" s="3" t="n">
        <v>352</v>
      </c>
      <c r="V433" s="1">
        <f>IF($K433="To be purchased",COUNTIF($K$2:$K433,"To be purchased"),"")</f>
        <v/>
      </c>
    </row>
    <row r="434">
      <c r="A434" s="1" t="inlineStr">
        <is>
          <t>Consumables</t>
        </is>
      </c>
      <c r="B434" s="2" t="inlineStr">
        <is>
          <t>Filter - Sander Vacuum, 8999600411</t>
        </is>
      </c>
      <c r="C434" s="2" t="inlineStr">
        <is>
          <t>18-G Filters</t>
        </is>
      </c>
      <c r="D434" s="1" t="inlineStr">
        <is>
          <t>SANKALP</t>
        </is>
      </c>
      <c r="E434" s="1" t="inlineStr">
        <is>
          <t>1</t>
        </is>
      </c>
      <c r="F434" s="1" t="inlineStr">
        <is>
          <t>Buy in US</t>
        </is>
      </c>
      <c r="G434" s="1" t="n"/>
      <c r="H434" s="1" t="inlineStr">
        <is>
          <t>No</t>
        </is>
      </c>
      <c r="I434" s="1" t="n"/>
      <c r="J434" s="1" t="n"/>
      <c r="K434" s="1" t="inlineStr">
        <is>
          <t>Hold</t>
        </is>
      </c>
      <c r="L434" s="3" t="n">
        <v>18</v>
      </c>
      <c r="M434" s="4" t="b">
        <v>0</v>
      </c>
      <c r="N434" s="3" t="n">
        <v>6</v>
      </c>
      <c r="O434" s="1" t="n"/>
      <c r="P434" s="1" t="n"/>
      <c r="Q434" s="1" t="n"/>
      <c r="R434" s="1" t="n"/>
      <c r="S434" s="1" t="n"/>
      <c r="T434" s="2" t="inlineStr">
        <is>
          <t>MAY BE REQUIRED</t>
        </is>
      </c>
      <c r="U434" s="3" t="n">
        <v>439</v>
      </c>
      <c r="V434" s="1">
        <f>IF($K434="To be purchased",COUNTIF($K$2:$K434,"To be purchased"),"")</f>
        <v/>
      </c>
    </row>
    <row r="435">
      <c r="A435" s="1" t="inlineStr">
        <is>
          <t>Consumables</t>
        </is>
      </c>
      <c r="B435" s="2" t="inlineStr">
        <is>
          <t>Gloves - Nitrile, Disposable</t>
        </is>
      </c>
      <c r="C435" s="2" t="inlineStr">
        <is>
          <t>18-H Gloves &amp; Disposables</t>
        </is>
      </c>
      <c r="D435" s="1" t="inlineStr">
        <is>
          <t>Kaustubh</t>
        </is>
      </c>
      <c r="E435" s="1" t="inlineStr">
        <is>
          <t>50</t>
        </is>
      </c>
      <c r="F435" s="1" t="inlineStr">
        <is>
          <t>India</t>
        </is>
      </c>
      <c r="G435" s="1" t="n"/>
      <c r="H435" s="1" t="inlineStr">
        <is>
          <t>No</t>
        </is>
      </c>
      <c r="I435" s="5" t="n"/>
      <c r="J435" s="6">
        <f>IFERROR(HYPERLINK("https://docs.google.com/spreadsheets/d/10M8oEMfSST-xuPwcSARfQDNcQJ0xrCp8O9iHBGPAr34/edit?gid=1956219685&amp;range=A"&amp;MATCH("PR-2026-1649",'PR Lookup'!A:A,0),"PR-2026-1649"),"PR-2026-1649")</f>
        <v/>
      </c>
      <c r="K435" s="1" t="inlineStr">
        <is>
          <t>PR Raised</t>
        </is>
      </c>
      <c r="L435" s="3" t="n">
        <v>18</v>
      </c>
      <c r="M435" s="4" t="b">
        <v>0</v>
      </c>
      <c r="N435" s="3" t="n">
        <v>6</v>
      </c>
      <c r="O435" s="1" t="n"/>
      <c r="P435" s="1" t="n"/>
      <c r="Q435" s="1" t="n"/>
      <c r="R435" s="1" t="n"/>
      <c r="S435" s="1" t="inlineStr">
        <is>
          <t>Mobile (travels with robot)</t>
        </is>
      </c>
      <c r="T435" s="1" t="n"/>
      <c r="U435" s="3" t="n">
        <v>220</v>
      </c>
      <c r="V435" s="1">
        <f>IF($K435="To be purchased",COUNTIF($K$2:$K435,"To be purchased"),"")</f>
        <v/>
      </c>
    </row>
    <row r="436">
      <c r="A436" s="1" t="inlineStr">
        <is>
          <t>Packaging</t>
        </is>
      </c>
      <c r="B436" s="2" t="inlineStr">
        <is>
          <t>Crate - Tool Sander</t>
        </is>
      </c>
      <c r="C436" s="2" t="inlineStr">
        <is>
          <t>19-A Crates &amp; Panels</t>
        </is>
      </c>
      <c r="D436" s="1" t="inlineStr">
        <is>
          <t>Kaustubh</t>
        </is>
      </c>
      <c r="E436" s="1" t="inlineStr">
        <is>
          <t>1</t>
        </is>
      </c>
      <c r="F436" s="1" t="inlineStr">
        <is>
          <t>India</t>
        </is>
      </c>
      <c r="G436" s="1" t="n"/>
      <c r="H436" s="1" t="inlineStr">
        <is>
          <t>No</t>
        </is>
      </c>
      <c r="I436" s="1" t="n"/>
      <c r="J436" s="1" t="n"/>
      <c r="K436" s="1" t="inlineStr">
        <is>
          <t>IQC Stage</t>
        </is>
      </c>
      <c r="L436" s="3" t="n">
        <v>19</v>
      </c>
      <c r="M436" s="4" t="b">
        <v>0</v>
      </c>
      <c r="N436" s="3" t="n">
        <v>6</v>
      </c>
      <c r="O436" s="1" t="n"/>
      <c r="P436" s="1" t="n"/>
      <c r="Q436" s="1" t="n"/>
      <c r="R436" s="1" t="n"/>
      <c r="S436" s="1" t="n"/>
      <c r="T436" s="1" t="n"/>
      <c r="U436" s="3" t="n">
        <v>571</v>
      </c>
      <c r="V436" s="1">
        <f>IF($K436="To be purchased",COUNTIF($K$2:$K436,"To be purchased"),"")</f>
        <v/>
      </c>
    </row>
    <row r="437">
      <c r="A437" s="1" t="inlineStr">
        <is>
          <t>Packaging</t>
        </is>
      </c>
      <c r="B437" s="2" t="inlineStr">
        <is>
          <t>Crate - Tool Sprayer</t>
        </is>
      </c>
      <c r="C437" s="2" t="inlineStr">
        <is>
          <t>19-A Crates &amp; Panels</t>
        </is>
      </c>
      <c r="D437" s="1" t="inlineStr">
        <is>
          <t>Kaustubh</t>
        </is>
      </c>
      <c r="E437" s="1" t="inlineStr">
        <is>
          <t>1</t>
        </is>
      </c>
      <c r="F437" s="1" t="inlineStr">
        <is>
          <t>India</t>
        </is>
      </c>
      <c r="G437" s="1" t="n"/>
      <c r="H437" s="1" t="inlineStr">
        <is>
          <t>No</t>
        </is>
      </c>
      <c r="I437" s="1" t="n"/>
      <c r="J437" s="1" t="n"/>
      <c r="K437" s="1" t="inlineStr">
        <is>
          <t>IQC Stage</t>
        </is>
      </c>
      <c r="L437" s="3" t="n">
        <v>19</v>
      </c>
      <c r="M437" s="4" t="b">
        <v>0</v>
      </c>
      <c r="N437" s="3" t="n">
        <v>6</v>
      </c>
      <c r="O437" s="1" t="n"/>
      <c r="P437" s="1" t="n"/>
      <c r="Q437" s="1" t="n"/>
      <c r="R437" s="1" t="n"/>
      <c r="S437" s="1" t="n"/>
      <c r="T437" s="1" t="n"/>
      <c r="U437" s="3" t="n">
        <v>572</v>
      </c>
      <c r="V437" s="1">
        <f>IF($K437="To be purchased",COUNTIF($K$2:$K437,"To be purchased"),"")</f>
        <v/>
      </c>
    </row>
    <row r="438">
      <c r="A438" s="1" t="inlineStr">
        <is>
          <t>Packaging</t>
        </is>
      </c>
      <c r="B438" s="2" t="inlineStr">
        <is>
          <t>Crate - Operation Station</t>
        </is>
      </c>
      <c r="C438" s="2" t="inlineStr">
        <is>
          <t>19-A Crates &amp; Panels</t>
        </is>
      </c>
      <c r="D438" s="1" t="inlineStr">
        <is>
          <t>Kaustubh</t>
        </is>
      </c>
      <c r="E438" s="1" t="inlineStr">
        <is>
          <t>1</t>
        </is>
      </c>
      <c r="F438" s="1" t="inlineStr">
        <is>
          <t>India</t>
        </is>
      </c>
      <c r="G438" s="1" t="n"/>
      <c r="H438" s="1" t="inlineStr">
        <is>
          <t>No</t>
        </is>
      </c>
      <c r="I438" s="1" t="n"/>
      <c r="J438" s="1" t="n"/>
      <c r="K438" s="1" t="inlineStr">
        <is>
          <t>IQC Stage</t>
        </is>
      </c>
      <c r="L438" s="3" t="n">
        <v>19</v>
      </c>
      <c r="M438" s="4" t="b">
        <v>0</v>
      </c>
      <c r="N438" s="3" t="n">
        <v>6</v>
      </c>
      <c r="O438" s="1" t="n"/>
      <c r="P438" s="1" t="n"/>
      <c r="Q438" s="1" t="n"/>
      <c r="R438" s="1" t="n"/>
      <c r="S438" s="1" t="n"/>
      <c r="T438" s="1" t="n"/>
      <c r="U438" s="3" t="n">
        <v>573</v>
      </c>
      <c r="V438" s="1">
        <f>IF($K438="To be purchased",COUNTIF($K$2:$K438,"To be purchased"),"")</f>
        <v/>
      </c>
    </row>
    <row r="439">
      <c r="A439" s="1" t="inlineStr">
        <is>
          <t>Packaging</t>
        </is>
      </c>
      <c r="B439" s="2" t="inlineStr">
        <is>
          <t>Crate - Mobile Inventory (spares + consumables + kits)</t>
        </is>
      </c>
      <c r="C439" s="2" t="inlineStr">
        <is>
          <t>19-A Crates &amp; Panels</t>
        </is>
      </c>
      <c r="D439" s="1" t="inlineStr">
        <is>
          <t>Kaustubh</t>
        </is>
      </c>
      <c r="E439" s="1" t="inlineStr">
        <is>
          <t>1</t>
        </is>
      </c>
      <c r="F439" s="1" t="inlineStr">
        <is>
          <t>India</t>
        </is>
      </c>
      <c r="G439" s="1" t="n"/>
      <c r="H439" s="1" t="inlineStr">
        <is>
          <t>No</t>
        </is>
      </c>
      <c r="I439" s="5" t="n"/>
      <c r="J439" s="6">
        <f>IFERROR(HYPERLINK("https://docs.google.com/spreadsheets/d/10M8oEMfSST-xuPwcSARfQDNcQJ0xrCp8O9iHBGPAr34/edit?gid=1956219685&amp;range=A"&amp;MATCH("PR-2026-1569",'PR Lookup'!A:A,0),"PR-2026-1569"),"PR-2026-1569")</f>
        <v/>
      </c>
      <c r="K439" s="1" t="inlineStr">
        <is>
          <t>PR Raised</t>
        </is>
      </c>
      <c r="L439" s="3" t="n">
        <v>19</v>
      </c>
      <c r="M439" s="4" t="b">
        <v>0</v>
      </c>
      <c r="N439" s="3" t="n">
        <v>6</v>
      </c>
      <c r="O439" s="1" t="n"/>
      <c r="P439" s="1" t="n"/>
      <c r="Q439" s="1" t="n"/>
      <c r="R439" s="1" t="inlineStr">
        <is>
          <t>4415.0</t>
        </is>
      </c>
      <c r="S439" s="1" t="n"/>
      <c r="T439" s="2" t="inlineStr">
        <is>
          <t>Ordered one for now, will order one more if flat list capacity is quantified</t>
        </is>
      </c>
      <c r="U439" s="3" t="n">
        <v>574</v>
      </c>
      <c r="V439" s="1">
        <f>IF($K439="To be purchased",COUNTIF($K$2:$K439,"To be purchased"),"")</f>
        <v/>
      </c>
    </row>
    <row r="440">
      <c r="A440" s="1" t="inlineStr">
        <is>
          <t>Packaging</t>
        </is>
      </c>
      <c r="B440" s="2" t="inlineStr">
        <is>
          <t>Strap - Cargo Ratchet, Orange</t>
        </is>
      </c>
      <c r="C440" s="2" t="inlineStr">
        <is>
          <t>19-B Straps &amp; Banding</t>
        </is>
      </c>
      <c r="D440" s="1" t="inlineStr">
        <is>
          <t>Kaustubh</t>
        </is>
      </c>
      <c r="E440" s="1" t="inlineStr">
        <is>
          <t>6</t>
        </is>
      </c>
      <c r="F440" s="1" t="inlineStr">
        <is>
          <t>India</t>
        </is>
      </c>
      <c r="G440" s="1" t="n"/>
      <c r="H440" s="1" t="inlineStr">
        <is>
          <t>No</t>
        </is>
      </c>
      <c r="I440" s="1" t="n"/>
      <c r="J440" s="1" t="n"/>
      <c r="K440" s="1" t="inlineStr">
        <is>
          <t>In stock</t>
        </is>
      </c>
      <c r="L440" s="3" t="n">
        <v>19</v>
      </c>
      <c r="M440" s="4" t="b">
        <v>0</v>
      </c>
      <c r="N440" s="3" t="n">
        <v>6</v>
      </c>
      <c r="O440" s="1" t="n"/>
      <c r="P440" s="1" t="n"/>
      <c r="Q440" s="1" t="n"/>
      <c r="R440" s="1" t="n"/>
      <c r="S440" s="1" t="n"/>
      <c r="T440" s="1" t="n"/>
      <c r="U440" s="3" t="n">
        <v>575</v>
      </c>
      <c r="V440" s="1">
        <f>IF($K440="To be purchased",COUNTIF($K$2:$K440,"To be purchased"),"")</f>
        <v/>
      </c>
    </row>
    <row r="441">
      <c r="A441" s="1" t="inlineStr">
        <is>
          <t>Packaging</t>
        </is>
      </c>
      <c r="B441" s="2" t="inlineStr">
        <is>
          <t>Strap - PET Banding Roll</t>
        </is>
      </c>
      <c r="C441" s="2" t="inlineStr">
        <is>
          <t>19-B Straps &amp; Banding</t>
        </is>
      </c>
      <c r="D441" s="1" t="inlineStr">
        <is>
          <t>Kaustubh</t>
        </is>
      </c>
      <c r="E441" s="1" t="inlineStr">
        <is>
          <t>1 roll</t>
        </is>
      </c>
      <c r="F441" s="1" t="inlineStr">
        <is>
          <t>India</t>
        </is>
      </c>
      <c r="G441" s="1" t="n"/>
      <c r="H441" s="1" t="inlineStr">
        <is>
          <t>No</t>
        </is>
      </c>
      <c r="I441" s="5" t="n"/>
      <c r="J441" s="6">
        <f>IFERROR(HYPERLINK("https://docs.google.com/spreadsheets/d/10M8oEMfSST-xuPwcSARfQDNcQJ0xrCp8O9iHBGPAr34/edit?gid=1956219685&amp;range=A"&amp;MATCH("PR-2026-1570",'PR Lookup'!A:A,0),"PR-2026-1570"),"PR-2026-1570")</f>
        <v/>
      </c>
      <c r="K441" s="1" t="inlineStr">
        <is>
          <t>PR Raised</t>
        </is>
      </c>
      <c r="L441" s="3" t="n">
        <v>19</v>
      </c>
      <c r="M441" s="4" t="b">
        <v>0</v>
      </c>
      <c r="N441" s="3" t="n">
        <v>6</v>
      </c>
      <c r="O441" s="1" t="n"/>
      <c r="P441" s="1" t="n"/>
      <c r="Q441" s="1" t="n"/>
      <c r="R441" s="1" t="n"/>
      <c r="S441" s="1" t="n"/>
      <c r="T441" s="1" t="n"/>
      <c r="U441" s="3" t="n">
        <v>576</v>
      </c>
      <c r="V441" s="1">
        <f>IF($K441="To be purchased",COUNTIF($K$2:$K441,"To be purchased"),"")</f>
        <v/>
      </c>
    </row>
    <row r="442">
      <c r="A442" s="1" t="inlineStr">
        <is>
          <t>Packaging</t>
        </is>
      </c>
      <c r="B442" s="2" t="inlineStr">
        <is>
          <t>Bracket - Strap / Belt Clamp</t>
        </is>
      </c>
      <c r="C442" s="2" t="inlineStr">
        <is>
          <t>19-B Straps &amp; Banding</t>
        </is>
      </c>
      <c r="D442" s="1" t="inlineStr">
        <is>
          <t>Kaustubh</t>
        </is>
      </c>
      <c r="E442" s="1" t="inlineStr">
        <is>
          <t>18</t>
        </is>
      </c>
      <c r="F442" s="1" t="inlineStr">
        <is>
          <t>India</t>
        </is>
      </c>
      <c r="G442" s="1" t="n"/>
      <c r="H442" s="1" t="inlineStr">
        <is>
          <t>No</t>
        </is>
      </c>
      <c r="I442" s="1" t="n"/>
      <c r="J442" s="1" t="n"/>
      <c r="K442" s="1" t="inlineStr">
        <is>
          <t>IQC Stage</t>
        </is>
      </c>
      <c r="L442" s="3" t="n">
        <v>19</v>
      </c>
      <c r="M442" s="4" t="b">
        <v>0</v>
      </c>
      <c r="N442" s="3" t="n">
        <v>6</v>
      </c>
      <c r="O442" s="1" t="n"/>
      <c r="P442" s="1" t="n"/>
      <c r="Q442" s="1" t="n"/>
      <c r="R442" s="1" t="n"/>
      <c r="S442" s="1" t="n"/>
      <c r="T442" s="1" t="n"/>
      <c r="U442" s="3" t="n">
        <v>577</v>
      </c>
      <c r="V442" s="1">
        <f>IF($K442="To be purchased",COUNTIF($K$2:$K442,"To be purchased"),"")</f>
        <v/>
      </c>
    </row>
    <row r="443">
      <c r="A443" s="1" t="inlineStr">
        <is>
          <t>Packaging</t>
        </is>
      </c>
      <c r="B443" s="2" t="inlineStr">
        <is>
          <t>Eye Bolt - M10 x 20 mm, Stainless Steel</t>
        </is>
      </c>
      <c r="C443" s="2" t="inlineStr">
        <is>
          <t>19-B Straps &amp; Banding</t>
        </is>
      </c>
      <c r="D443" s="1" t="inlineStr">
        <is>
          <t>Kaustubh</t>
        </is>
      </c>
      <c r="E443" s="1" t="inlineStr">
        <is>
          <t>2</t>
        </is>
      </c>
      <c r="F443" s="1" t="inlineStr">
        <is>
          <t>India</t>
        </is>
      </c>
      <c r="G443" s="1" t="n"/>
      <c r="H443" s="1" t="inlineStr">
        <is>
          <t>No</t>
        </is>
      </c>
      <c r="I443" s="5" t="n"/>
      <c r="J443" s="6">
        <f>IFERROR(HYPERLINK("https://docs.google.com/spreadsheets/d/10M8oEMfSST-xuPwcSARfQDNcQJ0xrCp8O9iHBGPAr34/edit?gid=1956219685&amp;range=A"&amp;MATCH("PR-2026-1583",'PR Lookup'!A:A,0),"PR-2026-1583"),"PR-2026-1583")</f>
        <v/>
      </c>
      <c r="K443" s="1" t="inlineStr">
        <is>
          <t>In stock</t>
        </is>
      </c>
      <c r="L443" s="3" t="n">
        <v>19</v>
      </c>
      <c r="M443" s="4" t="b">
        <v>0</v>
      </c>
      <c r="N443" s="3" t="n">
        <v>6</v>
      </c>
      <c r="O443" s="1" t="n"/>
      <c r="P443" s="1" t="n"/>
      <c r="Q443" s="1" t="n"/>
      <c r="R443" s="1" t="n"/>
      <c r="S443" s="1" t="inlineStr">
        <is>
          <t>Mobile (travels with robot)</t>
        </is>
      </c>
      <c r="T443" s="1" t="n"/>
      <c r="U443" s="3" t="n">
        <v>596</v>
      </c>
      <c r="V443" s="1">
        <f>IF($K443="To be purchased",COUNTIF($K$2:$K443,"To be purchased"),"")</f>
        <v/>
      </c>
    </row>
    <row r="444">
      <c r="A444" s="17" t="inlineStr">
        <is>
          <t>Packaging</t>
        </is>
      </c>
      <c r="B444" s="18" t="inlineStr">
        <is>
          <t>Clip - Ratchet Strap, External White</t>
        </is>
      </c>
      <c r="C444" s="18" t="inlineStr">
        <is>
          <t>19-B Straps &amp; Banding</t>
        </is>
      </c>
      <c r="D444" s="17" t="inlineStr">
        <is>
          <t>Kaustubh</t>
        </is>
      </c>
      <c r="E444" s="17" t="inlineStr">
        <is>
          <t>1 kg</t>
        </is>
      </c>
      <c r="F444" s="17" t="inlineStr">
        <is>
          <t>India</t>
        </is>
      </c>
      <c r="G444" s="17" t="n"/>
      <c r="H444" s="17" t="inlineStr">
        <is>
          <t>No</t>
        </is>
      </c>
      <c r="I444" s="5" t="n"/>
      <c r="J444" s="6">
        <f>IFERROR(HYPERLINK("https://docs.google.com/spreadsheets/d/10M8oEMfSST-xuPwcSARfQDNcQJ0xrCp8O9iHBGPAr34/edit?gid=1956219685&amp;range=A"&amp;MATCH("PR-2026-1584",'PR Lookup'!A:A,0),"PR-2026-1584"),"PR-2026-1584")</f>
        <v/>
      </c>
      <c r="K444" s="17" t="inlineStr">
        <is>
          <t>PR Raised</t>
        </is>
      </c>
      <c r="L444" s="19" t="n">
        <v>19</v>
      </c>
      <c r="M444" s="20" t="b">
        <v>0</v>
      </c>
      <c r="N444" s="19" t="n">
        <v>6</v>
      </c>
      <c r="O444" s="17" t="n"/>
      <c r="P444" s="17" t="n"/>
      <c r="Q444" s="17" t="n"/>
      <c r="R444" s="17" t="n"/>
      <c r="S444" s="17" t="n"/>
      <c r="T444" s="18" t="inlineStr">
        <is>
          <t>[POSSIBLE DUPLICATE of source row 577. Previous status: PR Raised]</t>
        </is>
      </c>
      <c r="U444" s="19" t="n">
        <v>597</v>
      </c>
      <c r="V444" s="17">
        <f>IF($K444="To be purchased",COUNTIF($K$2:$K444,"To be purchased"),"")</f>
        <v/>
      </c>
    </row>
    <row r="445">
      <c r="A445" s="1" t="inlineStr">
        <is>
          <t>Packaging</t>
        </is>
      </c>
      <c r="B445" s="2" t="inlineStr">
        <is>
          <t>Foam - EPE Sheet</t>
        </is>
      </c>
      <c r="C445" s="2" t="inlineStr">
        <is>
          <t>19-C Wraps &amp; Cushioning</t>
        </is>
      </c>
      <c r="D445" s="1" t="inlineStr">
        <is>
          <t>Kaustubh</t>
        </is>
      </c>
      <c r="E445" s="1" t="inlineStr">
        <is>
          <t>25</t>
        </is>
      </c>
      <c r="F445" s="1" t="inlineStr">
        <is>
          <t>India</t>
        </is>
      </c>
      <c r="G445" s="1" t="n"/>
      <c r="H445" s="1" t="inlineStr">
        <is>
          <t>No</t>
        </is>
      </c>
      <c r="I445" s="1" t="n"/>
      <c r="J445" s="1" t="n"/>
      <c r="K445" s="1" t="inlineStr">
        <is>
          <t>Hold</t>
        </is>
      </c>
      <c r="L445" s="3" t="n">
        <v>19</v>
      </c>
      <c r="M445" s="4" t="b">
        <v>0</v>
      </c>
      <c r="N445" s="3" t="n">
        <v>6</v>
      </c>
      <c r="O445" s="1" t="n"/>
      <c r="P445" s="1" t="n"/>
      <c r="Q445" s="1" t="n"/>
      <c r="R445" s="1" t="n"/>
      <c r="S445" s="1" t="n"/>
      <c r="T445" s="1" t="n"/>
      <c r="U445" s="3" t="n">
        <v>580</v>
      </c>
      <c r="V445" s="1">
        <f>IF($K445="To be purchased",COUNTIF($K$2:$K445,"To be purchased"),"")</f>
        <v/>
      </c>
    </row>
    <row r="446">
      <c r="A446" s="1" t="inlineStr">
        <is>
          <t>Packaging</t>
        </is>
      </c>
      <c r="B446" s="2" t="inlineStr">
        <is>
          <t>Bubble Wrap - Roll, 1 m wide</t>
        </is>
      </c>
      <c r="C446" s="2" t="inlineStr">
        <is>
          <t>19-C Wraps &amp; Cushioning</t>
        </is>
      </c>
      <c r="D446" s="1" t="inlineStr">
        <is>
          <t>Kaustubh</t>
        </is>
      </c>
      <c r="E446" s="1" t="inlineStr">
        <is>
          <t>1 roll</t>
        </is>
      </c>
      <c r="F446" s="1" t="inlineStr">
        <is>
          <t>India</t>
        </is>
      </c>
      <c r="G446" s="1" t="n"/>
      <c r="H446" s="1" t="inlineStr">
        <is>
          <t>No</t>
        </is>
      </c>
      <c r="I446" s="1" t="n"/>
      <c r="J446" s="1" t="n"/>
      <c r="K446" s="1" t="inlineStr">
        <is>
          <t>Hold</t>
        </is>
      </c>
      <c r="L446" s="3" t="n">
        <v>19</v>
      </c>
      <c r="M446" s="4" t="b">
        <v>0</v>
      </c>
      <c r="N446" s="3" t="n">
        <v>6</v>
      </c>
      <c r="O446" s="1" t="n"/>
      <c r="P446" s="1" t="n"/>
      <c r="Q446" s="1" t="n"/>
      <c r="R446" s="1" t="n"/>
      <c r="S446" s="1" t="n"/>
      <c r="T446" s="1" t="n"/>
      <c r="U446" s="3" t="n">
        <v>581</v>
      </c>
      <c r="V446" s="1">
        <f>IF($K446="To be purchased",COUNTIF($K$2:$K446,"To be purchased"),"")</f>
        <v/>
      </c>
    </row>
    <row r="447">
      <c r="A447" s="1" t="inlineStr">
        <is>
          <t>Packaging</t>
        </is>
      </c>
      <c r="B447" s="2" t="inlineStr">
        <is>
          <t>Stretch Film - Polyethylene Wrap, 500 mm</t>
        </is>
      </c>
      <c r="C447" s="2" t="inlineStr">
        <is>
          <t>19-C Wraps &amp; Cushioning</t>
        </is>
      </c>
      <c r="D447" s="1" t="inlineStr">
        <is>
          <t>Kaustubh</t>
        </is>
      </c>
      <c r="E447" s="1" t="inlineStr">
        <is>
          <t>3 rolls</t>
        </is>
      </c>
      <c r="F447" s="1" t="inlineStr">
        <is>
          <t>India</t>
        </is>
      </c>
      <c r="G447" s="1" t="n"/>
      <c r="H447" s="1" t="inlineStr">
        <is>
          <t>No</t>
        </is>
      </c>
      <c r="I447" s="1" t="n"/>
      <c r="J447" s="1" t="n"/>
      <c r="K447" s="1" t="inlineStr">
        <is>
          <t>Hold</t>
        </is>
      </c>
      <c r="L447" s="3" t="n">
        <v>19</v>
      </c>
      <c r="M447" s="4" t="b">
        <v>0</v>
      </c>
      <c r="N447" s="3" t="n">
        <v>6</v>
      </c>
      <c r="O447" s="1" t="n"/>
      <c r="P447" s="1" t="n"/>
      <c r="Q447" s="1" t="n"/>
      <c r="R447" s="1" t="n"/>
      <c r="S447" s="1" t="n"/>
      <c r="T447" s="1" t="n"/>
      <c r="U447" s="3" t="n">
        <v>582</v>
      </c>
      <c r="V447" s="1">
        <f>IF($K447="To be purchased",COUNTIF($K$2:$K447,"To be purchased"),"")</f>
        <v/>
      </c>
    </row>
    <row r="448">
      <c r="A448" s="1" t="inlineStr">
        <is>
          <t>Packaging</t>
        </is>
      </c>
      <c r="B448" s="2" t="inlineStr">
        <is>
          <t>Tape - Packing</t>
        </is>
      </c>
      <c r="C448" s="2" t="inlineStr">
        <is>
          <t>19-C Wraps &amp; Cushioning</t>
        </is>
      </c>
      <c r="D448" s="1" t="inlineStr">
        <is>
          <t>Kaustubh</t>
        </is>
      </c>
      <c r="E448" s="1" t="inlineStr">
        <is>
          <t>3 rolls</t>
        </is>
      </c>
      <c r="F448" s="1" t="inlineStr">
        <is>
          <t>India</t>
        </is>
      </c>
      <c r="G448" s="1" t="n"/>
      <c r="H448" s="1" t="inlineStr">
        <is>
          <t>No</t>
        </is>
      </c>
      <c r="I448" s="5" t="n"/>
      <c r="J448" s="6">
        <f>IFERROR(HYPERLINK("https://docs.google.com/spreadsheets/d/10M8oEMfSST-xuPwcSARfQDNcQJ0xrCp8O9iHBGPAr34/edit?gid=1956219685&amp;range=A"&amp;MATCH("PR-2026-1574",'PR Lookup'!A:A,0),"PR-2026-1574"),"PR-2026-1574")</f>
        <v/>
      </c>
      <c r="K448" s="1" t="inlineStr">
        <is>
          <t>PR Raised</t>
        </is>
      </c>
      <c r="L448" s="3" t="n">
        <v>19</v>
      </c>
      <c r="M448" s="4" t="b">
        <v>0</v>
      </c>
      <c r="N448" s="3" t="n">
        <v>6</v>
      </c>
      <c r="O448" s="1" t="n"/>
      <c r="P448" s="1" t="n"/>
      <c r="Q448" s="1" t="n"/>
      <c r="R448" s="1" t="n"/>
      <c r="S448" s="1" t="n"/>
      <c r="T448" s="1" t="n"/>
      <c r="U448" s="3" t="n">
        <v>583</v>
      </c>
      <c r="V448" s="1">
        <f>IF($K448="To be purchased",COUNTIF($K$2:$K448,"To be purchased"),"")</f>
        <v/>
      </c>
    </row>
    <row r="449">
      <c r="A449" s="1" t="inlineStr">
        <is>
          <t>Packaging</t>
        </is>
      </c>
      <c r="B449" s="2" t="inlineStr">
        <is>
          <t>Label - Handle With Care Sticker</t>
        </is>
      </c>
      <c r="C449" s="2" t="inlineStr">
        <is>
          <t>19-D Labels &amp; Marking</t>
        </is>
      </c>
      <c r="D449" s="1" t="inlineStr">
        <is>
          <t>Kaustubh</t>
        </is>
      </c>
      <c r="E449" s="1" t="inlineStr">
        <is>
          <t>20</t>
        </is>
      </c>
      <c r="F449" s="1" t="inlineStr">
        <is>
          <t>India</t>
        </is>
      </c>
      <c r="G449" s="1" t="n"/>
      <c r="H449" s="1" t="inlineStr">
        <is>
          <t>No</t>
        </is>
      </c>
      <c r="I449" s="1" t="n"/>
      <c r="J449" s="1" t="n"/>
      <c r="K449" s="1" t="inlineStr">
        <is>
          <t>To be Printed</t>
        </is>
      </c>
      <c r="L449" s="3" t="n">
        <v>19</v>
      </c>
      <c r="M449" s="4" t="b">
        <v>0</v>
      </c>
      <c r="N449" s="3" t="n">
        <v>6</v>
      </c>
      <c r="O449" s="1" t="n"/>
      <c r="P449" s="1" t="n"/>
      <c r="Q449" s="1" t="n"/>
      <c r="R449" s="1" t="n"/>
      <c r="S449" s="1" t="n"/>
      <c r="T449" s="2" t="inlineStr">
        <is>
          <t>To be printed with adhesive a4 sheet bought already</t>
        </is>
      </c>
      <c r="U449" s="3" t="n">
        <v>586</v>
      </c>
      <c r="V449" s="1">
        <f>IF($K449="To be purchased",COUNTIF($K$2:$K449,"To be purchased"),"")</f>
        <v/>
      </c>
    </row>
    <row r="450">
      <c r="A450" s="1" t="inlineStr">
        <is>
          <t>Packaging</t>
        </is>
      </c>
      <c r="B450" s="2" t="inlineStr">
        <is>
          <t>Stencil - Direction Marking</t>
        </is>
      </c>
      <c r="C450" s="2" t="inlineStr">
        <is>
          <t>19-D Labels &amp; Marking</t>
        </is>
      </c>
      <c r="D450" s="1" t="inlineStr">
        <is>
          <t>Kaustubh</t>
        </is>
      </c>
      <c r="E450" s="1" t="inlineStr">
        <is>
          <t>1</t>
        </is>
      </c>
      <c r="F450" s="1" t="inlineStr">
        <is>
          <t>India</t>
        </is>
      </c>
      <c r="G450" s="1" t="n"/>
      <c r="H450" s="1" t="inlineStr">
        <is>
          <t>No</t>
        </is>
      </c>
      <c r="I450" s="1" t="n"/>
      <c r="J450" s="1" t="n"/>
      <c r="K450" s="1" t="inlineStr">
        <is>
          <t>To be Printed</t>
        </is>
      </c>
      <c r="L450" s="3" t="n">
        <v>19</v>
      </c>
      <c r="M450" s="4" t="b">
        <v>0</v>
      </c>
      <c r="N450" s="3" t="n">
        <v>6</v>
      </c>
      <c r="O450" s="1" t="n"/>
      <c r="P450" s="1" t="n"/>
      <c r="Q450" s="1" t="n"/>
      <c r="R450" s="1" t="n"/>
      <c r="S450" s="1" t="n"/>
      <c r="T450" s="2" t="inlineStr">
        <is>
          <t>Can be printed in house - 3D printable item</t>
        </is>
      </c>
      <c r="U450" s="3" t="n">
        <v>587</v>
      </c>
      <c r="V450" s="1">
        <f>IF($K450="To be purchased",COUNTIF($K$2:$K450,"To be purchased"),"")</f>
        <v/>
      </c>
    </row>
    <row r="451">
      <c r="A451" s="1" t="inlineStr">
        <is>
          <t>Packaging</t>
        </is>
      </c>
      <c r="B451" s="2" t="inlineStr">
        <is>
          <t>Label - Shipping Labels &amp; Stamps</t>
        </is>
      </c>
      <c r="C451" s="2" t="inlineStr">
        <is>
          <t>19-D Labels &amp; Marking</t>
        </is>
      </c>
      <c r="D451" s="1" t="inlineStr">
        <is>
          <t>Kaustubh</t>
        </is>
      </c>
      <c r="E451" s="1" t="inlineStr">
        <is>
          <t>6</t>
        </is>
      </c>
      <c r="F451" s="1" t="inlineStr">
        <is>
          <t>India</t>
        </is>
      </c>
      <c r="G451" s="1" t="n"/>
      <c r="H451" s="1" t="inlineStr">
        <is>
          <t>No</t>
        </is>
      </c>
      <c r="I451" s="1" t="n"/>
      <c r="J451" s="1" t="n"/>
      <c r="K451" s="1" t="inlineStr">
        <is>
          <t>IQC Stage</t>
        </is>
      </c>
      <c r="L451" s="3" t="n">
        <v>19</v>
      </c>
      <c r="M451" s="4" t="b">
        <v>0</v>
      </c>
      <c r="N451" s="3" t="n">
        <v>6</v>
      </c>
      <c r="O451" s="1" t="n"/>
      <c r="P451" s="1" t="n"/>
      <c r="Q451" s="1" t="n"/>
      <c r="R451" s="1" t="n"/>
      <c r="S451" s="1" t="n"/>
      <c r="T451" s="2" t="inlineStr">
        <is>
          <t>To be printed day before packing</t>
        </is>
      </c>
      <c r="U451" s="3" t="n">
        <v>588</v>
      </c>
      <c r="V451" s="1">
        <f>IF($K451="To be purchased",COUNTIF($K$2:$K451,"To be purchased"),"")</f>
        <v/>
      </c>
    </row>
    <row r="452">
      <c r="A452" s="1" t="inlineStr">
        <is>
          <t>Packaging</t>
        </is>
      </c>
      <c r="B452" s="2" t="inlineStr">
        <is>
          <t>Paint - Spray, Matt Black</t>
        </is>
      </c>
      <c r="C452" s="2" t="inlineStr">
        <is>
          <t>19-D Labels &amp; Marking</t>
        </is>
      </c>
      <c r="D452" s="1" t="inlineStr">
        <is>
          <t>Kaustubh</t>
        </is>
      </c>
      <c r="E452" s="1" t="inlineStr">
        <is>
          <t>2</t>
        </is>
      </c>
      <c r="F452" s="1" t="inlineStr">
        <is>
          <t>Buy in US</t>
        </is>
      </c>
      <c r="G452" s="1" t="n"/>
      <c r="H452" s="1" t="inlineStr">
        <is>
          <t>No</t>
        </is>
      </c>
      <c r="I452" s="1" t="n"/>
      <c r="J452" s="1" t="n"/>
      <c r="K452" s="1" t="inlineStr">
        <is>
          <t>Hold</t>
        </is>
      </c>
      <c r="L452" s="3" t="n">
        <v>19</v>
      </c>
      <c r="M452" s="4" t="b">
        <v>0</v>
      </c>
      <c r="N452" s="3" t="n">
        <v>6</v>
      </c>
      <c r="O452" s="1" t="n"/>
      <c r="P452" s="1" t="n"/>
      <c r="Q452" s="1" t="n"/>
      <c r="R452" s="1" t="n"/>
      <c r="S452" s="1" t="n"/>
      <c r="T452" s="1" t="n"/>
      <c r="U452" s="3" t="n">
        <v>594</v>
      </c>
      <c r="V452" s="1">
        <f>IF($K452="To be purchased",COUNTIF($K$2:$K452,"To be purchased"),"")</f>
        <v/>
      </c>
    </row>
    <row r="453">
      <c r="A453" s="1" t="inlineStr">
        <is>
          <t>Packaging</t>
        </is>
      </c>
      <c r="B453" s="2" t="inlineStr">
        <is>
          <t>Paint - Spray, Red</t>
        </is>
      </c>
      <c r="C453" s="2" t="inlineStr">
        <is>
          <t>19-D Labels &amp; Marking</t>
        </is>
      </c>
      <c r="D453" s="1" t="inlineStr">
        <is>
          <t>Kaustubh</t>
        </is>
      </c>
      <c r="E453" s="1" t="inlineStr">
        <is>
          <t>2</t>
        </is>
      </c>
      <c r="F453" s="1" t="inlineStr">
        <is>
          <t>Buy in US</t>
        </is>
      </c>
      <c r="G453" s="1" t="n"/>
      <c r="H453" s="1" t="inlineStr">
        <is>
          <t>No</t>
        </is>
      </c>
      <c r="I453" s="1" t="n"/>
      <c r="J453" s="1" t="n"/>
      <c r="K453" s="1" t="inlineStr">
        <is>
          <t>Hold</t>
        </is>
      </c>
      <c r="L453" s="3" t="n">
        <v>19</v>
      </c>
      <c r="M453" s="4" t="b">
        <v>0</v>
      </c>
      <c r="N453" s="3" t="n">
        <v>6</v>
      </c>
      <c r="O453" s="1" t="n"/>
      <c r="P453" s="1" t="n"/>
      <c r="Q453" s="1" t="n"/>
      <c r="R453" s="1" t="n"/>
      <c r="S453" s="1" t="n"/>
      <c r="T453" s="1" t="n"/>
      <c r="U453" s="3" t="n">
        <v>595</v>
      </c>
      <c r="V453" s="1">
        <f>IF($K453="To be purchased",COUNTIF($K$2:$K453,"To be purchased"),"")</f>
        <v/>
      </c>
    </row>
    <row r="454">
      <c r="A454" s="1" t="inlineStr">
        <is>
          <t>Packaging</t>
        </is>
      </c>
      <c r="B454" s="2" t="inlineStr">
        <is>
          <t>Tilt Indicator - Tilt Watch XTR</t>
        </is>
      </c>
      <c r="C454" s="2" t="inlineStr">
        <is>
          <t>19-E Shock &amp; Tilt Indicators</t>
        </is>
      </c>
      <c r="D454" s="1" t="inlineStr">
        <is>
          <t>Kaustubh</t>
        </is>
      </c>
      <c r="E454" s="1" t="inlineStr">
        <is>
          <t>6</t>
        </is>
      </c>
      <c r="F454" s="1" t="inlineStr">
        <is>
          <t>India</t>
        </is>
      </c>
      <c r="G454" s="1" t="n"/>
      <c r="H454" s="1" t="inlineStr">
        <is>
          <t>No</t>
        </is>
      </c>
      <c r="I454" s="5" t="n"/>
      <c r="J454" s="6">
        <f>IFERROR(HYPERLINK("https://docs.google.com/spreadsheets/d/10M8oEMfSST-xuPwcSARfQDNcQJ0xrCp8O9iHBGPAr34/edit?gid=1956219685&amp;range=A"&amp;MATCH("PR-2026-1575",'PR Lookup'!A:A,0),"PR-2026-1575"),"PR-2026-1575")</f>
        <v/>
      </c>
      <c r="K454" s="1" t="inlineStr">
        <is>
          <t>PR Raised</t>
        </is>
      </c>
      <c r="L454" s="3" t="n">
        <v>19</v>
      </c>
      <c r="M454" s="4" t="b">
        <v>0</v>
      </c>
      <c r="N454" s="3" t="n">
        <v>6</v>
      </c>
      <c r="O454" s="1" t="n"/>
      <c r="P454" s="1" t="n"/>
      <c r="Q454" s="1" t="n"/>
      <c r="R454" s="1" t="n"/>
      <c r="S454" s="1" t="n"/>
      <c r="T454" s="1" t="n"/>
      <c r="U454" s="3" t="n">
        <v>584</v>
      </c>
      <c r="V454" s="1">
        <f>IF($K454="To be purchased",COUNTIF($K$2:$K454,"To be purchased"),"")</f>
        <v/>
      </c>
    </row>
    <row r="455">
      <c r="A455" s="1" t="inlineStr">
        <is>
          <t>Packaging</t>
        </is>
      </c>
      <c r="B455" s="2" t="inlineStr">
        <is>
          <t>Tilt Indicator - Tilt Watch Plus</t>
        </is>
      </c>
      <c r="C455" s="2" t="inlineStr">
        <is>
          <t>19-E Shock &amp; Tilt Indicators</t>
        </is>
      </c>
      <c r="D455" s="1" t="inlineStr">
        <is>
          <t>Kaustubh</t>
        </is>
      </c>
      <c r="E455" s="1" t="inlineStr">
        <is>
          <t>6</t>
        </is>
      </c>
      <c r="F455" s="1" t="inlineStr">
        <is>
          <t>India</t>
        </is>
      </c>
      <c r="G455" s="1" t="n"/>
      <c r="H455" s="1" t="inlineStr">
        <is>
          <t>No</t>
        </is>
      </c>
      <c r="I455" s="5" t="n"/>
      <c r="J455" s="6">
        <f>IFERROR(HYPERLINK("https://docs.google.com/spreadsheets/d/10M8oEMfSST-xuPwcSARfQDNcQJ0xrCp8O9iHBGPAr34/edit?gid=1956219685&amp;range=A"&amp;MATCH("PR-2026-1576",'PR Lookup'!A:A,0),"PR-2026-1576"),"PR-2026-1576")</f>
        <v/>
      </c>
      <c r="K455" s="1" t="inlineStr">
        <is>
          <t>PR Raised</t>
        </is>
      </c>
      <c r="L455" s="3" t="n">
        <v>19</v>
      </c>
      <c r="M455" s="4" t="b">
        <v>0</v>
      </c>
      <c r="N455" s="3" t="n">
        <v>6</v>
      </c>
      <c r="O455" s="1" t="n"/>
      <c r="P455" s="1" t="n"/>
      <c r="Q455" s="1" t="n"/>
      <c r="R455" s="1" t="n"/>
      <c r="S455" s="1" t="n"/>
      <c r="T455" s="1" t="n"/>
      <c r="U455" s="3" t="n">
        <v>585</v>
      </c>
      <c r="V455" s="1">
        <f>IF($K455="To be purchased",COUNTIF($K$2:$K455,"To be purchased"),"")</f>
        <v/>
      </c>
    </row>
    <row r="456">
      <c r="A456" s="1" t="inlineStr">
        <is>
          <t>Packaging</t>
        </is>
      </c>
      <c r="B456" s="2" t="inlineStr">
        <is>
          <t>Storage Box - IKEA Stackable</t>
        </is>
      </c>
      <c r="C456" s="2" t="inlineStr">
        <is>
          <t>19-F Storage Boxes</t>
        </is>
      </c>
      <c r="D456" s="1" t="inlineStr">
        <is>
          <t>Kaustubh</t>
        </is>
      </c>
      <c r="E456" s="1" t="inlineStr">
        <is>
          <t>TBD</t>
        </is>
      </c>
      <c r="F456" s="1" t="inlineStr">
        <is>
          <t>India</t>
        </is>
      </c>
      <c r="G456" s="1" t="n"/>
      <c r="H456" s="1" t="inlineStr">
        <is>
          <t>No</t>
        </is>
      </c>
      <c r="I456" s="5" t="n"/>
      <c r="J456" s="6">
        <f>IFERROR(HYPERLINK("https://docs.google.com/spreadsheets/d/10M8oEMfSST-xuPwcSARfQDNcQJ0xrCp8O9iHBGPAr34/edit?gid=1956219685&amp;range=A"&amp;MATCH("PR-2026-1673",'PR Lookup'!A:A,0),"PR-2026-1673"),"PR-2026-1673")</f>
        <v/>
      </c>
      <c r="K456" s="1" t="inlineStr">
        <is>
          <t>PR Raised</t>
        </is>
      </c>
      <c r="L456" s="3" t="n">
        <v>19</v>
      </c>
      <c r="M456" s="4" t="b">
        <v>0</v>
      </c>
      <c r="N456" s="3" t="n">
        <v>6</v>
      </c>
      <c r="O456" s="1" t="n"/>
      <c r="P456" s="1" t="n"/>
      <c r="Q456" s="1" t="n"/>
      <c r="R456" s="1" t="n"/>
      <c r="S456" s="1" t="n"/>
      <c r="T456" s="2" t="inlineStr">
        <is>
          <t>Capacity and quanity will be decided when all the flat lists are finalized</t>
        </is>
      </c>
      <c r="U456" s="3" t="n">
        <v>593</v>
      </c>
      <c r="V456" s="1">
        <f>IF($K456="To be purchased",COUNTIF($K$2:$K456,"To be purchased"),"")</f>
        <v/>
      </c>
    </row>
    <row r="457">
      <c r="A457" s="1" t="inlineStr">
        <is>
          <t>Bringup Kit</t>
        </is>
      </c>
      <c r="B457" s="2" t="inlineStr">
        <is>
          <t>Knife Blades</t>
        </is>
      </c>
      <c r="C457" s="2" t="inlineStr">
        <is>
          <t>2-A Hand Tools</t>
        </is>
      </c>
      <c r="D457" s="1" t="inlineStr">
        <is>
          <t>Kaustubh</t>
        </is>
      </c>
      <c r="E457" s="1" t="inlineStr">
        <is>
          <t>1</t>
        </is>
      </c>
      <c r="F457" s="1" t="inlineStr">
        <is>
          <t>India</t>
        </is>
      </c>
      <c r="G457" s="1" t="n"/>
      <c r="H457" s="1" t="inlineStr">
        <is>
          <t>No</t>
        </is>
      </c>
      <c r="I457" s="5" t="n"/>
      <c r="J457" s="6">
        <f>IFERROR(HYPERLINK("https://docs.google.com/spreadsheets/d/10M8oEMfSST-xuPwcSARfQDNcQJ0xrCp8O9iHBGPAr34/edit?gid=1956219685&amp;range=A"&amp;MATCH("PR-2026-1651",'PR Lookup'!A:A,0),"PR-2026-1651"),"PR-2026-1651")</f>
        <v/>
      </c>
      <c r="K457" s="1" t="inlineStr">
        <is>
          <t>PR Raised</t>
        </is>
      </c>
      <c r="L457" s="3" t="n">
        <v>2</v>
      </c>
      <c r="M457" s="4" t="b">
        <v>0</v>
      </c>
      <c r="N457" s="3" t="n">
        <v>1</v>
      </c>
      <c r="O457" s="1" t="n"/>
      <c r="P457" s="1" t="n"/>
      <c r="Q457" s="1" t="n"/>
      <c r="R457" s="1" t="n"/>
      <c r="S457" s="1" t="inlineStr">
        <is>
          <t>Mobile (travels with robot)</t>
        </is>
      </c>
      <c r="T457" s="2" t="inlineStr">
        <is>
          <t>Also stocked in: Packaging / Unpacking tools. Kept separate on purpose - one per box. assigned to subsystem box as requested.</t>
        </is>
      </c>
      <c r="U457" s="3" t="n">
        <v>4</v>
      </c>
      <c r="V457" s="1">
        <f>IF($K457="To be purchased",COUNTIF($K$2:$K457,"To be purchased"),"")</f>
        <v/>
      </c>
    </row>
    <row r="458">
      <c r="A458" s="1" t="inlineStr">
        <is>
          <t>Bringup Kit</t>
        </is>
      </c>
      <c r="B458" s="2" t="inlineStr">
        <is>
          <t>Calibration Target - Lidar + Camera</t>
        </is>
      </c>
      <c r="C458" s="2" t="inlineStr">
        <is>
          <t>2-B Calibration Targets</t>
        </is>
      </c>
      <c r="D458" s="1" t="inlineStr">
        <is>
          <t>Kaustubh</t>
        </is>
      </c>
      <c r="E458" s="1" t="inlineStr">
        <is>
          <t>1</t>
        </is>
      </c>
      <c r="F458" s="1" t="inlineStr">
        <is>
          <t>India</t>
        </is>
      </c>
      <c r="G458" s="1" t="n"/>
      <c r="H458" s="1" t="inlineStr">
        <is>
          <t>No</t>
        </is>
      </c>
      <c r="I458" s="1" t="n"/>
      <c r="J458" s="1" t="n"/>
      <c r="K458" s="1" t="inlineStr">
        <is>
          <t>To be Prepared</t>
        </is>
      </c>
      <c r="L458" s="3" t="n">
        <v>2</v>
      </c>
      <c r="M458" s="4" t="b">
        <v>0</v>
      </c>
      <c r="N458" s="3" t="n">
        <v>1</v>
      </c>
      <c r="O458" s="1" t="n"/>
      <c r="P458" s="1" t="n"/>
      <c r="Q458" s="1" t="n"/>
      <c r="R458" s="1" t="n"/>
      <c r="S458" s="1" t="inlineStr">
        <is>
          <t>Mobile (travels with robot)</t>
        </is>
      </c>
      <c r="T458" s="1" t="n"/>
      <c r="U458" s="3" t="n">
        <v>9</v>
      </c>
      <c r="V458" s="1">
        <f>IF($K458="To be purchased",COUNTIF($K$2:$K458,"To be purchased"),"")</f>
        <v/>
      </c>
    </row>
    <row r="459">
      <c r="A459" s="1" t="inlineStr">
        <is>
          <t>Bringup Kit</t>
        </is>
      </c>
      <c r="B459" s="2" t="inlineStr">
        <is>
          <t>Calibration Target - Camera</t>
        </is>
      </c>
      <c r="C459" s="2" t="inlineStr">
        <is>
          <t>2-B Calibration Targets</t>
        </is>
      </c>
      <c r="D459" s="1" t="inlineStr">
        <is>
          <t>Kaustubh</t>
        </is>
      </c>
      <c r="E459" s="1" t="inlineStr">
        <is>
          <t>1</t>
        </is>
      </c>
      <c r="F459" s="1" t="inlineStr">
        <is>
          <t>India</t>
        </is>
      </c>
      <c r="G459" s="1" t="n"/>
      <c r="H459" s="1" t="inlineStr">
        <is>
          <t>No</t>
        </is>
      </c>
      <c r="I459" s="1" t="n"/>
      <c r="J459" s="1" t="n"/>
      <c r="K459" s="1" t="inlineStr">
        <is>
          <t>To be Prepared</t>
        </is>
      </c>
      <c r="L459" s="3" t="n">
        <v>2</v>
      </c>
      <c r="M459" s="4" t="b">
        <v>0</v>
      </c>
      <c r="N459" s="3" t="n">
        <v>1</v>
      </c>
      <c r="O459" s="1" t="n"/>
      <c r="P459" s="1" t="n"/>
      <c r="Q459" s="1" t="n"/>
      <c r="R459" s="1" t="n"/>
      <c r="S459" s="1" t="inlineStr">
        <is>
          <t>Mobile (travels with robot)</t>
        </is>
      </c>
      <c r="T459" s="1" t="n"/>
      <c r="U459" s="3" t="n">
        <v>10</v>
      </c>
      <c r="V459" s="1">
        <f>IF($K459="To be purchased",COUNTIF($K$2:$K459,"To be purchased"),"")</f>
        <v/>
      </c>
    </row>
    <row r="460">
      <c r="A460" s="13" t="inlineStr">
        <is>
          <t>Bringup Kit</t>
        </is>
      </c>
      <c r="B460" s="2" t="inlineStr">
        <is>
          <t>Calibration Target - 2D Lidar (TBD)</t>
        </is>
      </c>
      <c r="C460" s="2" t="inlineStr">
        <is>
          <t>2-B Calibration Targets</t>
        </is>
      </c>
      <c r="D460" s="1" t="inlineStr">
        <is>
          <t>Kaustubh</t>
        </is>
      </c>
      <c r="E460" s="1" t="inlineStr">
        <is>
          <t>TBD</t>
        </is>
      </c>
      <c r="F460" s="1" t="inlineStr">
        <is>
          <t>India</t>
        </is>
      </c>
      <c r="G460" s="1" t="n"/>
      <c r="H460" s="1" t="inlineStr">
        <is>
          <t>No</t>
        </is>
      </c>
      <c r="I460" s="1" t="n"/>
      <c r="J460" s="1" t="n"/>
      <c r="K460" s="1" t="inlineStr">
        <is>
          <t>To be Prepared</t>
        </is>
      </c>
      <c r="L460" s="14" t="n">
        <v>2</v>
      </c>
      <c r="M460" s="4" t="b">
        <v>0</v>
      </c>
      <c r="N460" s="3" t="n">
        <v>1</v>
      </c>
      <c r="O460" s="1" t="n"/>
      <c r="P460" s="1" t="n"/>
      <c r="Q460" s="1" t="n"/>
      <c r="R460" s="1" t="n"/>
      <c r="S460" s="1" t="n"/>
      <c r="T460" s="2" t="inlineStr">
        <is>
          <t>[BOX ASSIGNED: 2 Bringup Kit - was unassigned]</t>
        </is>
      </c>
      <c r="U460" s="3" t="n">
        <v>11</v>
      </c>
      <c r="V460" s="1">
        <f>IF($K460="To be purchased",COUNTIF($K$2:$K460,"To be purchased"),"")</f>
        <v/>
      </c>
    </row>
    <row r="461">
      <c r="A461" s="13" t="inlineStr">
        <is>
          <t>Bringup Kit</t>
        </is>
      </c>
      <c r="B461" s="2" t="inlineStr">
        <is>
          <t>Calibration Apparatus- Navigation Lidar</t>
        </is>
      </c>
      <c r="C461" s="2" t="inlineStr">
        <is>
          <t>2-B Calibration Targets</t>
        </is>
      </c>
      <c r="D461" s="1" t="inlineStr">
        <is>
          <t>Kaustubh</t>
        </is>
      </c>
      <c r="E461" s="1" t="inlineStr">
        <is>
          <t>4 profiles 20*60</t>
        </is>
      </c>
      <c r="F461" s="1" t="inlineStr">
        <is>
          <t>India</t>
        </is>
      </c>
      <c r="G461" s="1" t="n"/>
      <c r="H461" s="1" t="inlineStr">
        <is>
          <t>No</t>
        </is>
      </c>
      <c r="I461" s="1" t="n"/>
      <c r="J461" s="1" t="n"/>
      <c r="K461" s="1" t="inlineStr">
        <is>
          <t>To be Prepared</t>
        </is>
      </c>
      <c r="L461" s="14" t="n">
        <v>2</v>
      </c>
      <c r="M461" s="4" t="b">
        <v>0</v>
      </c>
      <c r="N461" s="3" t="n">
        <v>1</v>
      </c>
      <c r="O461" s="1" t="n"/>
      <c r="P461" s="1" t="n"/>
      <c r="Q461" s="1" t="n"/>
      <c r="R461" s="1" t="n"/>
      <c r="S461" s="1" t="n"/>
      <c r="T461" s="2" t="inlineStr">
        <is>
          <t>[BOX ASSIGNED: 2 Bringup Kit - was unassigned]</t>
        </is>
      </c>
      <c r="U461" s="3" t="n">
        <v>11</v>
      </c>
      <c r="V461" s="1">
        <f>IF($K461="To be purchased",COUNTIF($K$2:$K461,"To be purchased"),"")</f>
        <v/>
      </c>
    </row>
    <row r="462">
      <c r="A462" s="1" t="inlineStr">
        <is>
          <t>Bringup Kit</t>
        </is>
      </c>
      <c r="B462" s="2" t="inlineStr">
        <is>
          <t>EOA Quick Lock - D1 Spec, Stationary Part</t>
        </is>
      </c>
      <c r="C462" s="2" t="inlineStr">
        <is>
          <t>2-C EOA Quick-Lock &amp; Arm Hardware</t>
        </is>
      </c>
      <c r="D462" s="1" t="inlineStr">
        <is>
          <t>Kaustubh</t>
        </is>
      </c>
      <c r="E462" s="1" t="inlineStr">
        <is>
          <t>1</t>
        </is>
      </c>
      <c r="F462" s="1" t="inlineStr">
        <is>
          <t>India</t>
        </is>
      </c>
      <c r="G462" s="1" t="n"/>
      <c r="H462" s="1" t="inlineStr">
        <is>
          <t>No</t>
        </is>
      </c>
      <c r="I462" s="1" t="n"/>
      <c r="J462" s="1" t="n"/>
      <c r="K462" s="1" t="inlineStr">
        <is>
          <t>IQC Stage</t>
        </is>
      </c>
      <c r="L462" s="3" t="n">
        <v>2</v>
      </c>
      <c r="M462" s="4" t="b">
        <v>0</v>
      </c>
      <c r="N462" s="3" t="n">
        <v>1</v>
      </c>
      <c r="O462" s="1" t="n"/>
      <c r="P462" s="1" t="n"/>
      <c r="Q462" s="1" t="n"/>
      <c r="R462" s="1" t="n"/>
      <c r="S462" s="1" t="inlineStr">
        <is>
          <t>Mobile (travels with robot)</t>
        </is>
      </c>
      <c r="T462" s="2" t="inlineStr">
        <is>
          <t>assigned to subsystem box as requested.</t>
        </is>
      </c>
      <c r="U462" s="3" t="n">
        <v>8</v>
      </c>
      <c r="V462" s="1">
        <f>IF($K462="To be purchased",COUNTIF($K$2:$K462,"To be purchased"),"")</f>
        <v/>
      </c>
    </row>
    <row r="463">
      <c r="A463" s="1" t="inlineStr">
        <is>
          <t>Bringup Kit</t>
        </is>
      </c>
      <c r="B463" s="2" t="inlineStr">
        <is>
          <t>Bolt - Socket Cap (SHCS), M5 x 16 mm - EOA quick-lock fastener</t>
        </is>
      </c>
      <c r="C463" s="2" t="inlineStr">
        <is>
          <t>2-C EOA Quick-Lock &amp; Arm Hardware</t>
        </is>
      </c>
      <c r="D463" s="1" t="inlineStr">
        <is>
          <t>Kaustubh</t>
        </is>
      </c>
      <c r="E463" s="1" t="inlineStr">
        <is>
          <t>6</t>
        </is>
      </c>
      <c r="F463" s="1" t="inlineStr">
        <is>
          <t>India</t>
        </is>
      </c>
      <c r="G463" s="1" t="n"/>
      <c r="H463" s="1" t="inlineStr">
        <is>
          <t>No</t>
        </is>
      </c>
      <c r="I463" s="1" t="n"/>
      <c r="J463" s="1" t="n"/>
      <c r="K463" s="1" t="inlineStr">
        <is>
          <t>IQC Stage</t>
        </is>
      </c>
      <c r="L463" s="3" t="n">
        <v>2</v>
      </c>
      <c r="M463" s="4" t="b">
        <v>0</v>
      </c>
      <c r="N463" s="3" t="n">
        <v>1</v>
      </c>
      <c r="O463" s="1" t="n"/>
      <c r="P463" s="1" t="n"/>
      <c r="Q463" s="1" t="n"/>
      <c r="R463" s="1" t="n"/>
      <c r="S463" s="1" t="inlineStr">
        <is>
          <t>Mobile (travels with robot)</t>
        </is>
      </c>
      <c r="T463" s="2" t="inlineStr">
        <is>
          <t>assigned to subsystem box as requested.</t>
        </is>
      </c>
      <c r="U463" s="3" t="n">
        <v>12</v>
      </c>
      <c r="V463" s="1">
        <f>IF($K463="To be purchased",COUNTIF($K$2:$K463,"To be purchased"),"")</f>
        <v/>
      </c>
    </row>
    <row r="464">
      <c r="A464" s="1" t="inlineStr">
        <is>
          <t>Bringup Kit</t>
        </is>
      </c>
      <c r="B464" s="2" t="inlineStr">
        <is>
          <t>Bolt - Socket Cap (SHCS), M8 x 50 mm - arm mounting</t>
        </is>
      </c>
      <c r="C464" s="2" t="inlineStr">
        <is>
          <t>2-C EOA Quick-Lock &amp; Arm Hardware</t>
        </is>
      </c>
      <c r="D464" s="1" t="inlineStr">
        <is>
          <t>Kaustubh</t>
        </is>
      </c>
      <c r="E464" s="1" t="inlineStr">
        <is>
          <t>4</t>
        </is>
      </c>
      <c r="F464" s="1" t="inlineStr">
        <is>
          <t>India</t>
        </is>
      </c>
      <c r="G464" s="1" t="n"/>
      <c r="H464" s="1" t="inlineStr">
        <is>
          <t>No</t>
        </is>
      </c>
      <c r="I464" s="1" t="n"/>
      <c r="J464" s="1" t="n"/>
      <c r="K464" s="1" t="inlineStr">
        <is>
          <t>IQC Stage</t>
        </is>
      </c>
      <c r="L464" s="3" t="n">
        <v>2</v>
      </c>
      <c r="M464" s="4" t="b">
        <v>0</v>
      </c>
      <c r="N464" s="3" t="n">
        <v>1</v>
      </c>
      <c r="O464" s="1" t="n"/>
      <c r="P464" s="1" t="n"/>
      <c r="Q464" s="1" t="n"/>
      <c r="R464" s="1" t="n"/>
      <c r="S464" s="1" t="inlineStr">
        <is>
          <t>Mobile (travels with robot)</t>
        </is>
      </c>
      <c r="T464" s="2" t="inlineStr">
        <is>
          <t>assigned to subsystem box as requested.</t>
        </is>
      </c>
      <c r="U464" s="3" t="n">
        <v>14</v>
      </c>
      <c r="V464" s="1">
        <f>IF($K464="To be purchased",COUNTIF($K$2:$K464,"To be purchased"),"")</f>
        <v/>
      </c>
    </row>
    <row r="465">
      <c r="A465" s="1" t="inlineStr">
        <is>
          <t>Bringup Kit</t>
        </is>
      </c>
      <c r="B465" s="2" t="inlineStr">
        <is>
          <t>Bolt - Socket Cap (SHCS), M8 x 40 mm - arm mounting</t>
        </is>
      </c>
      <c r="C465" s="2" t="inlineStr">
        <is>
          <t>2-C EOA Quick-Lock &amp; Arm Hardware</t>
        </is>
      </c>
      <c r="D465" s="1" t="inlineStr">
        <is>
          <t>Kaustubh</t>
        </is>
      </c>
      <c r="E465" s="1" t="inlineStr">
        <is>
          <t>4</t>
        </is>
      </c>
      <c r="F465" s="1" t="inlineStr">
        <is>
          <t>India</t>
        </is>
      </c>
      <c r="G465" s="1" t="n"/>
      <c r="H465" s="1" t="inlineStr">
        <is>
          <t>No</t>
        </is>
      </c>
      <c r="I465" s="1" t="n"/>
      <c r="J465" s="1" t="n"/>
      <c r="K465" s="1" t="inlineStr">
        <is>
          <t>IQC Stage</t>
        </is>
      </c>
      <c r="L465" s="3" t="n">
        <v>2</v>
      </c>
      <c r="M465" s="4" t="b">
        <v>0</v>
      </c>
      <c r="N465" s="3" t="n">
        <v>1</v>
      </c>
      <c r="O465" s="1" t="n"/>
      <c r="P465" s="1" t="n"/>
      <c r="Q465" s="1" t="n"/>
      <c r="R465" s="1" t="n"/>
      <c r="S465" s="1" t="inlineStr">
        <is>
          <t>Mobile (travels with robot)</t>
        </is>
      </c>
      <c r="T465" s="2" t="inlineStr">
        <is>
          <t>assigned to subsystem box as requested.</t>
        </is>
      </c>
      <c r="U465" s="3" t="n">
        <v>15</v>
      </c>
      <c r="V465" s="1">
        <f>IF($K465="To be purchased",COUNTIF($K$2:$K465,"To be purchased"),"")</f>
        <v/>
      </c>
    </row>
    <row r="466">
      <c r="A466" s="1" t="inlineStr">
        <is>
          <t>Bringup Kit</t>
        </is>
      </c>
      <c r="B466" s="2" t="inlineStr">
        <is>
          <t>Nut - Nylon Lock, M8 - arm mounting</t>
        </is>
      </c>
      <c r="C466" s="2" t="inlineStr">
        <is>
          <t>2-C EOA Quick-Lock &amp; Arm Hardware</t>
        </is>
      </c>
      <c r="D466" s="1" t="inlineStr">
        <is>
          <t>Kaustubh</t>
        </is>
      </c>
      <c r="E466" s="1" t="inlineStr">
        <is>
          <t>4</t>
        </is>
      </c>
      <c r="F466" s="1" t="inlineStr">
        <is>
          <t>India</t>
        </is>
      </c>
      <c r="G466" s="1" t="n"/>
      <c r="H466" s="1" t="inlineStr">
        <is>
          <t>No</t>
        </is>
      </c>
      <c r="I466" s="1" t="n"/>
      <c r="J466" s="1" t="n"/>
      <c r="K466" s="1" t="inlineStr">
        <is>
          <t>IQC Stage</t>
        </is>
      </c>
      <c r="L466" s="3" t="n">
        <v>2</v>
      </c>
      <c r="M466" s="4" t="b">
        <v>0</v>
      </c>
      <c r="N466" s="3" t="n">
        <v>1</v>
      </c>
      <c r="O466" s="1" t="n"/>
      <c r="P466" s="1" t="n"/>
      <c r="Q466" s="1" t="n"/>
      <c r="R466" s="1" t="n"/>
      <c r="S466" s="1" t="inlineStr">
        <is>
          <t>Mobile (travels with robot)</t>
        </is>
      </c>
      <c r="T466" s="2" t="inlineStr">
        <is>
          <t>assigned to subsystem box as requested.</t>
        </is>
      </c>
      <c r="U466" s="3" t="n">
        <v>16</v>
      </c>
      <c r="V466" s="1">
        <f>IF($K466="To be purchased",COUNTIF($K$2:$K466,"To be purchased"),"")</f>
        <v/>
      </c>
    </row>
    <row r="467">
      <c r="A467" s="1" t="inlineStr">
        <is>
          <t>Bringup Kit</t>
        </is>
      </c>
      <c r="B467" s="2" t="inlineStr">
        <is>
          <t>Camera - Econ, Planner Side Right, with mount</t>
        </is>
      </c>
      <c r="C467" s="2" t="inlineStr">
        <is>
          <t>2-D Cameras &amp; Mounts</t>
        </is>
      </c>
      <c r="D467" s="1" t="inlineStr">
        <is>
          <t>Kaustubh</t>
        </is>
      </c>
      <c r="E467" s="1" t="inlineStr">
        <is>
          <t>1</t>
        </is>
      </c>
      <c r="F467" s="1" t="inlineStr">
        <is>
          <t>India</t>
        </is>
      </c>
      <c r="G467" s="1" t="n"/>
      <c r="H467" s="1" t="inlineStr">
        <is>
          <t>No</t>
        </is>
      </c>
      <c r="I467" s="1" t="n"/>
      <c r="J467" s="1" t="n"/>
      <c r="K467" s="1" t="inlineStr">
        <is>
          <t>IQC Stage</t>
        </is>
      </c>
      <c r="L467" s="3" t="n">
        <v>2</v>
      </c>
      <c r="M467" s="4" t="b">
        <v>0</v>
      </c>
      <c r="N467" s="3" t="n">
        <v>1</v>
      </c>
      <c r="O467" s="1" t="n"/>
      <c r="P467" s="1" t="n"/>
      <c r="Q467" s="1" t="n"/>
      <c r="R467" s="1" t="n"/>
      <c r="S467" s="1" t="inlineStr">
        <is>
          <t>Mobile (travels with robot)</t>
        </is>
      </c>
      <c r="T467" s="2" t="inlineStr">
        <is>
          <t>assigned to subsystem box as requested.</t>
        </is>
      </c>
      <c r="U467" s="3" t="n">
        <v>17</v>
      </c>
      <c r="V467" s="1">
        <f>IF($K467="To be purchased",COUNTIF($K$2:$K467,"To be purchased"),"")</f>
        <v/>
      </c>
    </row>
    <row r="468">
      <c r="A468" s="1" t="inlineStr">
        <is>
          <t>Bringup Kit</t>
        </is>
      </c>
      <c r="B468" s="2" t="inlineStr">
        <is>
          <t>Camera - Econ, Planner Side Left, with mount</t>
        </is>
      </c>
      <c r="C468" s="2" t="inlineStr">
        <is>
          <t>2-D Cameras &amp; Mounts</t>
        </is>
      </c>
      <c r="D468" s="1" t="inlineStr">
        <is>
          <t>Kaustubh</t>
        </is>
      </c>
      <c r="E468" s="1" t="inlineStr">
        <is>
          <t>1</t>
        </is>
      </c>
      <c r="F468" s="1" t="inlineStr">
        <is>
          <t>India</t>
        </is>
      </c>
      <c r="G468" s="1" t="n"/>
      <c r="H468" s="1" t="inlineStr">
        <is>
          <t>No</t>
        </is>
      </c>
      <c r="I468" s="1" t="n"/>
      <c r="J468" s="1" t="n"/>
      <c r="K468" s="1" t="inlineStr">
        <is>
          <t>IQC Stage</t>
        </is>
      </c>
      <c r="L468" s="3" t="n">
        <v>2</v>
      </c>
      <c r="M468" s="4" t="b">
        <v>0</v>
      </c>
      <c r="N468" s="3" t="n">
        <v>1</v>
      </c>
      <c r="O468" s="1" t="n"/>
      <c r="P468" s="1" t="n"/>
      <c r="Q468" s="1" t="n"/>
      <c r="R468" s="1" t="n"/>
      <c r="S468" s="1" t="inlineStr">
        <is>
          <t>Mobile (travels with robot)</t>
        </is>
      </c>
      <c r="T468" s="2" t="inlineStr">
        <is>
          <t>assigned to subsystem box as requested.</t>
        </is>
      </c>
      <c r="U468" s="3" t="n">
        <v>18</v>
      </c>
      <c r="V468" s="1">
        <f>IF($K468="To be purchased",COUNTIF($K$2:$K468,"To be purchased"),"")</f>
        <v/>
      </c>
    </row>
    <row r="469">
      <c r="A469" s="1" t="inlineStr">
        <is>
          <t>Bringup Kit</t>
        </is>
      </c>
      <c r="B469" s="2" t="inlineStr">
        <is>
          <t>Bolt - Socket Cap (SHCS), M4 x 16 mm - planner Econ camera mounting</t>
        </is>
      </c>
      <c r="C469" s="2" t="inlineStr">
        <is>
          <t>2-D Cameras &amp; Mounts</t>
        </is>
      </c>
      <c r="D469" s="1" t="inlineStr">
        <is>
          <t>Kaustubh</t>
        </is>
      </c>
      <c r="E469" s="1" t="inlineStr">
        <is>
          <t>15</t>
        </is>
      </c>
      <c r="F469" s="1" t="inlineStr">
        <is>
          <t>India</t>
        </is>
      </c>
      <c r="G469" s="1" t="n"/>
      <c r="H469" s="1" t="inlineStr">
        <is>
          <t>No</t>
        </is>
      </c>
      <c r="I469" s="1" t="n"/>
      <c r="J469" s="1" t="n"/>
      <c r="K469" s="1" t="inlineStr">
        <is>
          <t>IQC Stage</t>
        </is>
      </c>
      <c r="L469" s="3" t="n">
        <v>2</v>
      </c>
      <c r="M469" s="4" t="b">
        <v>0</v>
      </c>
      <c r="N469" s="3" t="n">
        <v>1</v>
      </c>
      <c r="O469" s="1" t="n"/>
      <c r="P469" s="1" t="n"/>
      <c r="Q469" s="1" t="n"/>
      <c r="R469" s="1" t="n"/>
      <c r="S469" s="1" t="inlineStr">
        <is>
          <t>Mobile (travels with robot)</t>
        </is>
      </c>
      <c r="T469" s="1" t="n"/>
      <c r="U469" s="3" t="n">
        <v>19</v>
      </c>
      <c r="V469" s="1">
        <f>IF($K469="To be purchased",COUNTIF($K$2:$K469,"To be purchased"),"")</f>
        <v/>
      </c>
    </row>
    <row r="470">
      <c r="A470" s="1" t="inlineStr">
        <is>
          <t>Bringup Kit</t>
        </is>
      </c>
      <c r="B470" s="2" t="inlineStr">
        <is>
          <t>Nut - T-Slot / Hammer, M4 (20x20 profile) - planner Econ camera mounting</t>
        </is>
      </c>
      <c r="C470" s="2" t="inlineStr">
        <is>
          <t>2-D Cameras &amp; Mounts</t>
        </is>
      </c>
      <c r="D470" s="1" t="inlineStr">
        <is>
          <t>Kaustubh</t>
        </is>
      </c>
      <c r="E470" s="1" t="inlineStr">
        <is>
          <t>15</t>
        </is>
      </c>
      <c r="F470" s="1" t="inlineStr">
        <is>
          <t>India</t>
        </is>
      </c>
      <c r="G470" s="1" t="n"/>
      <c r="H470" s="1" t="inlineStr">
        <is>
          <t>No</t>
        </is>
      </c>
      <c r="I470" s="1" t="n"/>
      <c r="J470" s="1" t="n"/>
      <c r="K470" s="1" t="inlineStr">
        <is>
          <t>IQC Stage</t>
        </is>
      </c>
      <c r="L470" s="3" t="n">
        <v>2</v>
      </c>
      <c r="M470" s="4" t="b">
        <v>0</v>
      </c>
      <c r="N470" s="3" t="n">
        <v>1</v>
      </c>
      <c r="O470" s="1" t="n"/>
      <c r="P470" s="1" t="n"/>
      <c r="Q470" s="1" t="n"/>
      <c r="R470" s="1" t="n"/>
      <c r="S470" s="1" t="inlineStr">
        <is>
          <t>Mobile (travels with robot)</t>
        </is>
      </c>
      <c r="T470" s="1" t="n"/>
      <c r="U470" s="3" t="n">
        <v>20</v>
      </c>
      <c r="V470" s="1">
        <f>IF($K470="To be purchased",COUNTIF($K$2:$K470,"To be purchased"),"")</f>
        <v/>
      </c>
    </row>
    <row r="471">
      <c r="A471" s="1" t="inlineStr">
        <is>
          <t>Bringup Kit</t>
        </is>
      </c>
      <c r="B471" s="2" t="inlineStr">
        <is>
          <t>SSD - External, SanDisk 4 TB - Controller Orin</t>
        </is>
      </c>
      <c r="C471" s="2" t="inlineStr">
        <is>
          <t>2-E Electronics &amp; Cables</t>
        </is>
      </c>
      <c r="D471" s="1" t="inlineStr">
        <is>
          <t>Badri</t>
        </is>
      </c>
      <c r="E471" s="7" t="inlineStr">
        <is>
          <t>1</t>
        </is>
      </c>
      <c r="F471" s="1" t="inlineStr">
        <is>
          <t>India</t>
        </is>
      </c>
      <c r="G471" s="1" t="n"/>
      <c r="H471" s="1" t="inlineStr">
        <is>
          <t>No</t>
        </is>
      </c>
      <c r="I471" s="1" t="n"/>
      <c r="J471" s="1" t="n"/>
      <c r="K471" s="1" t="inlineStr">
        <is>
          <t>In stock</t>
        </is>
      </c>
      <c r="L471" s="3" t="n">
        <v>2</v>
      </c>
      <c r="M471" s="4" t="b">
        <v>0</v>
      </c>
      <c r="N471" s="3" t="n">
        <v>1</v>
      </c>
      <c r="O471" s="1" t="n"/>
      <c r="P471" s="1" t="n"/>
      <c r="Q471" s="1" t="n"/>
      <c r="R471" s="1" t="n"/>
      <c r="S471" s="1" t="inlineStr">
        <is>
          <t>Mobile (travels with robot)</t>
        </is>
      </c>
      <c r="T471" s="2" t="inlineStr">
        <is>
          <t>assigned to subsystem box as requested.</t>
        </is>
      </c>
      <c r="U471" s="3" t="n">
        <v>22</v>
      </c>
      <c r="V471" s="1">
        <f>IF($K471="To be purchased",COUNTIF($K$2:$K471,"To be purchased"),"")</f>
        <v/>
      </c>
    </row>
    <row r="472">
      <c r="A472" s="1" t="inlineStr">
        <is>
          <t>Bringup Kit</t>
        </is>
      </c>
      <c r="B472" s="2" t="inlineStr">
        <is>
          <t>Battery - Li-SOCl2 AA, ER14505 - driver encoder</t>
        </is>
      </c>
      <c r="C472" s="2" t="inlineStr">
        <is>
          <t>2-E Electronics &amp; Cables</t>
        </is>
      </c>
      <c r="D472" s="1" t="inlineStr">
        <is>
          <t>Badri</t>
        </is>
      </c>
      <c r="E472" s="1" t="n">
        <v>4</v>
      </c>
      <c r="F472" s="1" t="inlineStr">
        <is>
          <t>India</t>
        </is>
      </c>
      <c r="G472" s="1" t="n"/>
      <c r="H472" s="1" t="inlineStr">
        <is>
          <t>No</t>
        </is>
      </c>
      <c r="I472" s="1" t="n"/>
      <c r="J472" s="1" t="n"/>
      <c r="K472" s="1" t="inlineStr">
        <is>
          <t>IQC Stage</t>
        </is>
      </c>
      <c r="L472" s="3" t="n">
        <v>2</v>
      </c>
      <c r="M472" s="4" t="b">
        <v>0</v>
      </c>
      <c r="N472" s="3" t="n">
        <v>1</v>
      </c>
      <c r="O472" s="1" t="n"/>
      <c r="P472" s="1" t="n"/>
      <c r="Q472" s="1" t="n"/>
      <c r="R472" s="1" t="n"/>
      <c r="S472" s="1" t="inlineStr">
        <is>
          <t>Mobile (travels with robot)</t>
        </is>
      </c>
      <c r="T472" s="2" t="inlineStr">
        <is>
          <t>assigned to subsystem box as requested.</t>
        </is>
      </c>
      <c r="U472" s="3" t="n">
        <v>23</v>
      </c>
      <c r="V472" s="1">
        <f>IF($K472="To be purchased",COUNTIF($K$2:$K472,"To be purchased"),"")</f>
        <v/>
      </c>
    </row>
    <row r="473">
      <c r="A473" s="1" t="inlineStr">
        <is>
          <t>Bringup Kit</t>
        </is>
      </c>
      <c r="B473" s="2" t="inlineStr">
        <is>
          <t>Converter - RS232 to USB, Waveshare - Kinco motor driver debug</t>
        </is>
      </c>
      <c r="C473" s="2" t="inlineStr">
        <is>
          <t>2-E Electronics &amp; Cables</t>
        </is>
      </c>
      <c r="D473" s="1" t="inlineStr">
        <is>
          <t>Badri</t>
        </is>
      </c>
      <c r="E473" s="7" t="inlineStr">
        <is>
          <t>1</t>
        </is>
      </c>
      <c r="F473" s="1" t="inlineStr">
        <is>
          <t>India</t>
        </is>
      </c>
      <c r="G473" s="1" t="n"/>
      <c r="H473" s="1" t="inlineStr">
        <is>
          <t>No</t>
        </is>
      </c>
      <c r="I473" s="1" t="n"/>
      <c r="J473" s="1" t="n"/>
      <c r="K473" s="1" t="inlineStr">
        <is>
          <t>In stock</t>
        </is>
      </c>
      <c r="L473" s="3" t="n">
        <v>2</v>
      </c>
      <c r="M473" s="4" t="b">
        <v>0</v>
      </c>
      <c r="N473" s="3" t="n">
        <v>1</v>
      </c>
      <c r="O473" s="1" t="n"/>
      <c r="P473" s="1" t="n"/>
      <c r="Q473" s="1" t="n"/>
      <c r="R473" s="1" t="n"/>
      <c r="S473" s="1" t="n"/>
      <c r="T473" s="1" t="n"/>
      <c r="U473" s="3" t="n">
        <v>24</v>
      </c>
      <c r="V473" s="1">
        <f>IF($K473="To be purchased",COUNTIF($K$2:$K473,"To be purchased"),"")</f>
        <v/>
      </c>
    </row>
    <row r="474">
      <c r="A474" s="1" t="inlineStr">
        <is>
          <t>Bringup Kit</t>
        </is>
      </c>
      <c r="B474" s="2" t="inlineStr">
        <is>
          <t>Converter - CAN FD to USB, Waveshare - robot CAN teleop</t>
        </is>
      </c>
      <c r="C474" s="2" t="inlineStr">
        <is>
          <t>2-E Electronics &amp; Cables</t>
        </is>
      </c>
      <c r="D474" s="1" t="inlineStr">
        <is>
          <t>Badri</t>
        </is>
      </c>
      <c r="E474" s="7" t="inlineStr">
        <is>
          <t>1</t>
        </is>
      </c>
      <c r="F474" s="1" t="inlineStr">
        <is>
          <t>India</t>
        </is>
      </c>
      <c r="G474" s="1" t="n"/>
      <c r="H474" s="1" t="inlineStr">
        <is>
          <t>No</t>
        </is>
      </c>
      <c r="I474" s="1" t="n"/>
      <c r="J474" s="1" t="n"/>
      <c r="K474" s="1" t="inlineStr">
        <is>
          <t>PR Raised</t>
        </is>
      </c>
      <c r="L474" s="3" t="n">
        <v>2</v>
      </c>
      <c r="M474" s="4" t="b">
        <v>0</v>
      </c>
      <c r="N474" s="3" t="n">
        <v>1</v>
      </c>
      <c r="O474" s="1" t="n"/>
      <c r="P474" s="1" t="n"/>
      <c r="Q474" s="1" t="n"/>
      <c r="R474" s="1" t="n"/>
      <c r="S474" s="1" t="n"/>
      <c r="T474" s="1" t="n"/>
      <c r="U474" s="3" t="n">
        <v>25</v>
      </c>
      <c r="V474" s="1">
        <f>IF($K474="To be purchased",COUNTIF($K$2:$K474,"To be purchased"),"")</f>
        <v/>
      </c>
    </row>
    <row r="475">
      <c r="A475" s="1" t="inlineStr">
        <is>
          <t>Bringup Kit</t>
        </is>
      </c>
      <c r="B475" s="2" t="inlineStr">
        <is>
          <t>Cable - Battery Custom to Anderson SB50A - on-robot battery charging</t>
        </is>
      </c>
      <c r="C475" s="2" t="inlineStr">
        <is>
          <t>2-E Electronics &amp; Cables</t>
        </is>
      </c>
      <c r="D475" s="1" t="inlineStr">
        <is>
          <t>Badri</t>
        </is>
      </c>
      <c r="E475" s="8" t="n">
        <v>2</v>
      </c>
      <c r="F475" s="1" t="inlineStr">
        <is>
          <t>India</t>
        </is>
      </c>
      <c r="G475" s="1" t="n"/>
      <c r="H475" s="1" t="inlineStr">
        <is>
          <t>No</t>
        </is>
      </c>
      <c r="I475" s="1" t="n"/>
      <c r="J475" s="1" t="n"/>
      <c r="K475" s="1" t="inlineStr">
        <is>
          <t>To be Prepared</t>
        </is>
      </c>
      <c r="L475" s="3" t="n">
        <v>2</v>
      </c>
      <c r="M475" s="4" t="b">
        <v>0</v>
      </c>
      <c r="N475" s="3" t="n">
        <v>1</v>
      </c>
      <c r="O475" s="1" t="n"/>
      <c r="P475" s="1" t="n"/>
      <c r="Q475" s="1" t="n"/>
      <c r="R475" s="1" t="n"/>
      <c r="S475" s="1" t="n"/>
      <c r="T475" s="1" t="n"/>
      <c r="U475" s="3" t="n">
        <v>26</v>
      </c>
      <c r="V475" s="1">
        <f>IF($K475="To be purchased",COUNTIF($K$2:$K475,"To be purchased"),"")</f>
        <v/>
      </c>
    </row>
    <row r="476">
      <c r="A476" s="1" t="inlineStr">
        <is>
          <t>Bringup Kit</t>
        </is>
      </c>
      <c r="B476" s="2" t="inlineStr">
        <is>
          <t xml:space="preserve">Cable - Battery Ring Lug to Anderson SB120A - Battery Power </t>
        </is>
      </c>
      <c r="C476" s="2" t="inlineStr">
        <is>
          <t>2-E Electronics &amp; Cables</t>
        </is>
      </c>
      <c r="D476" s="1" t="inlineStr">
        <is>
          <t>Badri</t>
        </is>
      </c>
      <c r="E476" s="8" t="n">
        <v>2</v>
      </c>
      <c r="F476" s="1" t="inlineStr">
        <is>
          <t>India</t>
        </is>
      </c>
      <c r="G476" s="1" t="n"/>
      <c r="H476" s="1" t="inlineStr">
        <is>
          <t>No</t>
        </is>
      </c>
      <c r="I476" s="1" t="n"/>
      <c r="J476" s="1" t="n"/>
      <c r="K476" s="1" t="inlineStr">
        <is>
          <t>To be Prepared</t>
        </is>
      </c>
      <c r="L476" s="3" t="n">
        <v>2</v>
      </c>
      <c r="M476" s="4" t="b">
        <v>0</v>
      </c>
      <c r="N476" s="3" t="n">
        <v>1</v>
      </c>
      <c r="O476" s="1" t="n"/>
      <c r="P476" s="1" t="n"/>
      <c r="Q476" s="1" t="n"/>
      <c r="R476" s="1" t="n"/>
      <c r="S476" s="1" t="n"/>
      <c r="T476" s="1" t="n"/>
      <c r="U476" s="3" t="n">
        <v>27</v>
      </c>
      <c r="V476" s="1">
        <f>IF($K476="To be purchased",COUNTIF($K$2:$K476,"To be purchased"),"")</f>
        <v/>
      </c>
    </row>
    <row r="477">
      <c r="A477" s="1" t="inlineStr">
        <is>
          <t>Bringup Kit</t>
        </is>
      </c>
      <c r="B477" s="2" t="inlineStr">
        <is>
          <t>Cable- SBH OST Tool DC to AC</t>
        </is>
      </c>
      <c r="C477" s="2" t="inlineStr">
        <is>
          <t>2-E Electronics &amp; Cables</t>
        </is>
      </c>
      <c r="D477" s="1" t="inlineStr">
        <is>
          <t>Badri</t>
        </is>
      </c>
      <c r="E477" s="8" t="inlineStr">
        <is>
          <t>1</t>
        </is>
      </c>
      <c r="F477" s="1" t="inlineStr">
        <is>
          <t>India</t>
        </is>
      </c>
      <c r="G477" s="1" t="n"/>
      <c r="H477" s="1" t="inlineStr">
        <is>
          <t>No</t>
        </is>
      </c>
      <c r="I477" s="1" t="n"/>
      <c r="J477" s="1" t="n"/>
      <c r="K477" s="1" t="inlineStr">
        <is>
          <t>To be Prepared</t>
        </is>
      </c>
      <c r="L477" s="3" t="n">
        <v>2</v>
      </c>
      <c r="M477" s="4" t="b">
        <v>0</v>
      </c>
      <c r="N477" s="3" t="n">
        <v>1</v>
      </c>
      <c r="O477" s="1" t="n"/>
      <c r="P477" s="1" t="n"/>
      <c r="Q477" s="1" t="n"/>
      <c r="R477" s="1" t="n"/>
      <c r="S477" s="1" t="inlineStr">
        <is>
          <t>Mobile (travels with robot)</t>
        </is>
      </c>
      <c r="T477" s="2" t="inlineStr">
        <is>
          <t>[POSSIBLE DUPLICATE of source row 69. Previous status: To be Prepared]</t>
        </is>
      </c>
      <c r="U477" s="3" t="n">
        <v>134</v>
      </c>
      <c r="V477" s="1">
        <f>IF($K477="To be purchased",COUNTIF($K$2:$K477,"To be purchased"),"")</f>
        <v/>
      </c>
    </row>
    <row r="478">
      <c r="A478" s="1" t="inlineStr">
        <is>
          <t>Bringup Kit</t>
        </is>
      </c>
      <c r="B478" s="2" t="inlineStr">
        <is>
          <t>Multimeter</t>
        </is>
      </c>
      <c r="C478" s="2" t="inlineStr">
        <is>
          <t>2-E Electronics &amp; Cables</t>
        </is>
      </c>
      <c r="D478" s="1" t="inlineStr">
        <is>
          <t>Badri</t>
        </is>
      </c>
      <c r="E478" s="8" t="inlineStr">
        <is>
          <t>1</t>
        </is>
      </c>
      <c r="F478" s="1" t="inlineStr">
        <is>
          <t>India</t>
        </is>
      </c>
      <c r="G478" s="1" t="n"/>
      <c r="H478" s="1" t="inlineStr">
        <is>
          <t>No</t>
        </is>
      </c>
      <c r="I478" s="1" t="n"/>
      <c r="J478" s="1" t="n"/>
      <c r="K478" s="1" t="inlineStr">
        <is>
          <t>In stock</t>
        </is>
      </c>
      <c r="L478" s="3" t="n">
        <v>2</v>
      </c>
      <c r="M478" s="4" t="b">
        <v>0</v>
      </c>
      <c r="N478" s="3" t="n">
        <v>1</v>
      </c>
      <c r="O478" s="1" t="n"/>
      <c r="P478" s="1" t="n"/>
      <c r="Q478" s="1" t="n"/>
      <c r="R478" s="1" t="n"/>
      <c r="S478" s="1" t="n"/>
      <c r="T478" s="1" t="n"/>
      <c r="U478" s="1" t="n"/>
      <c r="V478" s="1" t="n"/>
    </row>
    <row r="479">
      <c r="A479" s="1" t="inlineStr">
        <is>
          <t>Bringup Kit</t>
        </is>
      </c>
      <c r="B479" s="2" t="inlineStr">
        <is>
          <t>Clamp - Hose, Circular</t>
        </is>
      </c>
      <c r="C479" s="2" t="inlineStr">
        <is>
          <t>2-F Hose Routing Hardware</t>
        </is>
      </c>
      <c r="D479" s="1" t="inlineStr">
        <is>
          <t>Kaustubh</t>
        </is>
      </c>
      <c r="E479" s="1" t="inlineStr">
        <is>
          <t>1</t>
        </is>
      </c>
      <c r="F479" s="1" t="inlineStr">
        <is>
          <t>India</t>
        </is>
      </c>
      <c r="G479" s="1" t="n"/>
      <c r="H479" s="1" t="inlineStr">
        <is>
          <t>No</t>
        </is>
      </c>
      <c r="I479" s="1" t="n"/>
      <c r="J479" s="1" t="n"/>
      <c r="K479" s="1" t="inlineStr">
        <is>
          <t>IQC Stage</t>
        </is>
      </c>
      <c r="L479" s="3" t="n">
        <v>2</v>
      </c>
      <c r="M479" s="4" t="b">
        <v>0</v>
      </c>
      <c r="N479" s="3" t="n">
        <v>1</v>
      </c>
      <c r="O479" s="1" t="n"/>
      <c r="P479" s="1" t="n"/>
      <c r="Q479" s="1" t="n"/>
      <c r="R479" s="1" t="n"/>
      <c r="S479" s="1" t="inlineStr">
        <is>
          <t>Mobile (travels with robot)</t>
        </is>
      </c>
      <c r="T479" s="2" t="inlineStr">
        <is>
          <t>assigned to subsystem box as requested.</t>
        </is>
      </c>
      <c r="U479" s="3" t="n">
        <v>7</v>
      </c>
      <c r="V479" s="1">
        <f>IF($K479="To be purchased",COUNTIF($K$2:$K479,"To be purchased"),"")</f>
        <v/>
      </c>
    </row>
    <row r="480">
      <c r="A480" s="1" t="inlineStr">
        <is>
          <t>Bringup Kit</t>
        </is>
      </c>
      <c r="B480" s="2" t="inlineStr">
        <is>
          <t>Clamp - Hose Routing, Metal</t>
        </is>
      </c>
      <c r="C480" s="2" t="inlineStr">
        <is>
          <t>2-F Hose Routing Hardware</t>
        </is>
      </c>
      <c r="D480" s="1" t="inlineStr">
        <is>
          <t>Kaustubh</t>
        </is>
      </c>
      <c r="E480" s="1" t="inlineStr">
        <is>
          <t>4</t>
        </is>
      </c>
      <c r="F480" s="1" t="inlineStr">
        <is>
          <t>India</t>
        </is>
      </c>
      <c r="G480" s="1" t="n"/>
      <c r="H480" s="1" t="inlineStr">
        <is>
          <t>No</t>
        </is>
      </c>
      <c r="I480" s="1" t="n"/>
      <c r="J480" s="1" t="n"/>
      <c r="K480" s="1" t="inlineStr">
        <is>
          <t>IQC Stage</t>
        </is>
      </c>
      <c r="L480" s="3" t="n">
        <v>2</v>
      </c>
      <c r="M480" s="4" t="b">
        <v>0</v>
      </c>
      <c r="N480" s="3" t="n">
        <v>1</v>
      </c>
      <c r="O480" s="1" t="n"/>
      <c r="P480" s="1" t="n"/>
      <c r="Q480" s="1" t="n"/>
      <c r="R480" s="1" t="n"/>
      <c r="S480" s="1" t="inlineStr">
        <is>
          <t>Mobile (travels with robot)</t>
        </is>
      </c>
      <c r="T480" s="2" t="inlineStr">
        <is>
          <t>assigned to subsystem box as requested.</t>
        </is>
      </c>
      <c r="U480" s="3" t="n">
        <v>28</v>
      </c>
      <c r="V480" s="1">
        <f>IF($K480="To be purchased",COUNTIF($K$2:$K480,"To be purchased"),"")</f>
        <v/>
      </c>
    </row>
    <row r="481">
      <c r="A481" s="1" t="inlineStr">
        <is>
          <t>Bringup Kit</t>
        </is>
      </c>
      <c r="B481" s="2" t="inlineStr">
        <is>
          <t>Key Ring - Hose Routing</t>
        </is>
      </c>
      <c r="C481" s="2" t="inlineStr">
        <is>
          <t>2-F Hose Routing Hardware</t>
        </is>
      </c>
      <c r="D481" s="1" t="inlineStr">
        <is>
          <t>Kaustubh</t>
        </is>
      </c>
      <c r="E481" s="1" t="inlineStr">
        <is>
          <t>4</t>
        </is>
      </c>
      <c r="F481" s="1" t="inlineStr">
        <is>
          <t>India</t>
        </is>
      </c>
      <c r="G481" s="1" t="n"/>
      <c r="H481" s="1" t="inlineStr">
        <is>
          <t>No</t>
        </is>
      </c>
      <c r="I481" s="1" t="n"/>
      <c r="J481" s="1" t="n"/>
      <c r="K481" s="1" t="inlineStr">
        <is>
          <t>IQC Stage</t>
        </is>
      </c>
      <c r="L481" s="3" t="n">
        <v>2</v>
      </c>
      <c r="M481" s="4" t="b">
        <v>0</v>
      </c>
      <c r="N481" s="3" t="n">
        <v>1</v>
      </c>
      <c r="O481" s="1" t="n"/>
      <c r="P481" s="1" t="n"/>
      <c r="Q481" s="1" t="n"/>
      <c r="R481" s="1" t="n"/>
      <c r="S481" s="1" t="inlineStr">
        <is>
          <t>Mobile (travels with robot)</t>
        </is>
      </c>
      <c r="T481" s="1" t="n"/>
      <c r="U481" s="3" t="n">
        <v>29</v>
      </c>
      <c r="V481" s="1">
        <f>IF($K481="To be purchased",COUNTIF($K$2:$K481,"To be purchased"),"")</f>
        <v/>
      </c>
    </row>
    <row r="482">
      <c r="A482" s="1" t="inlineStr">
        <is>
          <t>Bringup Kit</t>
        </is>
      </c>
      <c r="B482" s="2" t="inlineStr">
        <is>
          <t>Arm Sock - UR10e protective cover</t>
        </is>
      </c>
      <c r="C482" s="2" t="inlineStr">
        <is>
          <t>2-G Protective &amp; Misc</t>
        </is>
      </c>
      <c r="D482" s="1" t="inlineStr">
        <is>
          <t>Kaustubh</t>
        </is>
      </c>
      <c r="E482" s="1" t="inlineStr">
        <is>
          <t>1</t>
        </is>
      </c>
      <c r="F482" s="1" t="inlineStr">
        <is>
          <t>India</t>
        </is>
      </c>
      <c r="G482" s="1" t="n"/>
      <c r="H482" s="1" t="inlineStr">
        <is>
          <t>No</t>
        </is>
      </c>
      <c r="I482" s="5" t="n"/>
      <c r="J482" s="6">
        <f>IFERROR(HYPERLINK("https://docs.google.com/spreadsheets/d/10M8oEMfSST-xuPwcSARfQDNcQJ0xrCp8O9iHBGPAr34/edit?gid=1956219685&amp;range=A"&amp;MATCH("PR-2026-1641",'PR Lookup'!A:A,0),"PR-2026-1641"),"PR-2026-1641")</f>
        <v/>
      </c>
      <c r="K482" s="1" t="inlineStr">
        <is>
          <t>PR Raised</t>
        </is>
      </c>
      <c r="L482" s="3" t="n">
        <v>2</v>
      </c>
      <c r="M482" s="4" t="b">
        <v>0</v>
      </c>
      <c r="N482" s="3" t="n">
        <v>1</v>
      </c>
      <c r="O482" s="1" t="n"/>
      <c r="P482" s="1" t="n"/>
      <c r="Q482" s="1" t="n"/>
      <c r="R482" s="1" t="n"/>
      <c r="S482" s="1" t="inlineStr">
        <is>
          <t>Mobile (travels with robot)</t>
        </is>
      </c>
      <c r="T482" s="2" t="inlineStr">
        <is>
          <t>assigned to subsystem box as requested.</t>
        </is>
      </c>
      <c r="U482" s="3" t="n">
        <v>13</v>
      </c>
      <c r="V482" s="1">
        <f>IF($K482="To be purchased",COUNTIF($K$2:$K482,"To be purchased"),"")</f>
        <v/>
      </c>
    </row>
    <row r="483">
      <c r="A483" s="1" t="inlineStr">
        <is>
          <t>Bringup Kit</t>
        </is>
      </c>
      <c r="B483" s="2" t="inlineStr">
        <is>
          <t>Threadlocker - Loctite 243 (medium strength)</t>
        </is>
      </c>
      <c r="C483" s="2" t="inlineStr">
        <is>
          <t>2-G Protective &amp; Misc</t>
        </is>
      </c>
      <c r="D483" s="1" t="inlineStr">
        <is>
          <t>Kaustubh</t>
        </is>
      </c>
      <c r="E483" s="1" t="inlineStr">
        <is>
          <t>1</t>
        </is>
      </c>
      <c r="F483" s="1" t="inlineStr">
        <is>
          <t>India</t>
        </is>
      </c>
      <c r="G483" s="1" t="n"/>
      <c r="H483" s="1" t="inlineStr">
        <is>
          <t>No</t>
        </is>
      </c>
      <c r="I483" s="1" t="n"/>
      <c r="J483" s="1" t="n"/>
      <c r="K483" s="1" t="inlineStr">
        <is>
          <t>IQC Stage</t>
        </is>
      </c>
      <c r="L483" s="3" t="n">
        <v>2</v>
      </c>
      <c r="M483" s="4" t="b">
        <v>0</v>
      </c>
      <c r="N483" s="3" t="n">
        <v>1</v>
      </c>
      <c r="O483" s="1" t="n"/>
      <c r="P483" s="1" t="n"/>
      <c r="Q483" s="1" t="n"/>
      <c r="R483" s="1" t="n"/>
      <c r="S483" s="1" t="inlineStr">
        <is>
          <t>Mobile (travels with robot)</t>
        </is>
      </c>
      <c r="T483" s="2" t="inlineStr">
        <is>
          <t>assigned to subsystem box as requested.</t>
        </is>
      </c>
      <c r="U483" s="3" t="n">
        <v>31</v>
      </c>
      <c r="V483" s="1">
        <f>IF($K483="To be purchased",COUNTIF($K$2:$K483,"To be purchased"),"")</f>
        <v/>
      </c>
    </row>
    <row r="484">
      <c r="A484" s="1" t="inlineStr">
        <is>
          <t>Compute &amp; Network</t>
        </is>
      </c>
      <c r="B484" s="2" t="inlineStr">
        <is>
          <t>Compute - Mivii Evo Orin</t>
        </is>
      </c>
      <c r="C484" s="2" t="inlineStr">
        <is>
          <t>9-A Compute Modules</t>
        </is>
      </c>
      <c r="D484" s="1" t="inlineStr">
        <is>
          <t>Badri</t>
        </is>
      </c>
      <c r="E484" s="1" t="inlineStr">
        <is>
          <t>1</t>
        </is>
      </c>
      <c r="F484" s="1" t="inlineStr">
        <is>
          <t>India</t>
        </is>
      </c>
      <c r="G484" s="1" t="n"/>
      <c r="H484" s="1" t="inlineStr">
        <is>
          <t>Yes</t>
        </is>
      </c>
      <c r="I484" s="5" t="n"/>
      <c r="J484" s="6">
        <f>IFERROR(HYPERLINK("https://docs.google.com/spreadsheets/d/10M8oEMfSST-xuPwcSARfQDNcQJ0xrCp8O9iHBGPAr34/edit?gid=1956219685&amp;range=A"&amp;MATCH("PR-2026-1690",'PR Lookup'!A:A,0),"PR-2026-1690"),"PR-2026-1690")</f>
        <v/>
      </c>
      <c r="K484" s="1" t="inlineStr">
        <is>
          <t>In stock</t>
        </is>
      </c>
      <c r="L484" s="3" t="n">
        <v>9</v>
      </c>
      <c r="M484" s="4" t="b">
        <v>0</v>
      </c>
      <c r="N484" s="3" t="n">
        <v>5</v>
      </c>
      <c r="O484" s="1" t="n"/>
      <c r="P484" s="1" t="n"/>
      <c r="Q484" s="1" t="n"/>
      <c r="R484" s="1" t="n"/>
      <c r="S484" s="1" t="inlineStr">
        <is>
          <t>Mobile (travels with robot)</t>
        </is>
      </c>
      <c r="T484" s="1" t="n"/>
      <c r="U484" s="3" t="n">
        <v>70</v>
      </c>
      <c r="V484" s="1">
        <f>IF($K484="To be purchased",COUNTIF($K$2:$K484,"To be purchased"),"")</f>
        <v/>
      </c>
    </row>
    <row r="485">
      <c r="A485" s="1" t="inlineStr">
        <is>
          <t>Compute &amp; Network</t>
        </is>
      </c>
      <c r="B485" s="2" t="inlineStr">
        <is>
          <t>Compute - NVIDIA AGX Orin Devkit - planner</t>
        </is>
      </c>
      <c r="C485" s="2" t="inlineStr">
        <is>
          <t>9-A Compute Modules</t>
        </is>
      </c>
      <c r="D485" s="1" t="inlineStr">
        <is>
          <t>Badri</t>
        </is>
      </c>
      <c r="E485" s="1" t="inlineStr">
        <is>
          <t>1</t>
        </is>
      </c>
      <c r="F485" s="1" t="inlineStr">
        <is>
          <t>India</t>
        </is>
      </c>
      <c r="G485" s="1" t="n"/>
      <c r="H485" s="1" t="inlineStr">
        <is>
          <t>Yes</t>
        </is>
      </c>
      <c r="I485" s="5" t="n"/>
      <c r="J485" s="6">
        <f>IFERROR(HYPERLINK("https://docs.google.com/spreadsheets/d/10M8oEMfSST-xuPwcSARfQDNcQJ0xrCp8O9iHBGPAr34/edit?gid=1956219685&amp;range=A"&amp;MATCH("PR-2026-1691",'PR Lookup'!A:A,0),"PR-2026-1691"),"PR-2026-1691")</f>
        <v/>
      </c>
      <c r="K485" s="1" t="inlineStr">
        <is>
          <t>PR Raised</t>
        </is>
      </c>
      <c r="L485" s="3" t="n">
        <v>9</v>
      </c>
      <c r="M485" s="4" t="b">
        <v>0</v>
      </c>
      <c r="N485" s="3" t="n">
        <v>5</v>
      </c>
      <c r="O485" s="1" t="n"/>
      <c r="P485" s="1" t="n"/>
      <c r="Q485" s="1" t="n"/>
      <c r="R485" s="1" t="n"/>
      <c r="S485" s="1" t="inlineStr">
        <is>
          <t>Mobile (travels with robot)</t>
        </is>
      </c>
      <c r="T485" s="1" t="n"/>
      <c r="U485" s="3" t="n">
        <v>87</v>
      </c>
      <c r="V485" s="1">
        <f>IF($K485="To be purchased",COUNTIF($K$2:$K485,"To be purchased"),"")</f>
        <v/>
      </c>
    </row>
    <row r="486">
      <c r="A486" s="1" t="inlineStr">
        <is>
          <t>Compute &amp; Network</t>
        </is>
      </c>
      <c r="B486" s="2" t="inlineStr">
        <is>
          <t>Compute - NVIDIA Jetson Orin Nano Devkit 8 GB - HHM</t>
        </is>
      </c>
      <c r="C486" s="2" t="inlineStr">
        <is>
          <t>9-A Compute Modules</t>
        </is>
      </c>
      <c r="D486" s="1" t="inlineStr">
        <is>
          <t>Uttez</t>
        </is>
      </c>
      <c r="E486" s="1" t="inlineStr">
        <is>
          <t>1</t>
        </is>
      </c>
      <c r="F486" s="1" t="inlineStr">
        <is>
          <t>India</t>
        </is>
      </c>
      <c r="G486" s="1" t="n"/>
      <c r="H486" s="1" t="inlineStr">
        <is>
          <t>No</t>
        </is>
      </c>
      <c r="I486" s="1" t="n"/>
      <c r="J486" s="1" t="n"/>
      <c r="K486" s="1" t="inlineStr">
        <is>
          <t>IQC Stage</t>
        </is>
      </c>
      <c r="L486" s="3" t="n">
        <v>9</v>
      </c>
      <c r="M486" s="4" t="b">
        <v>0</v>
      </c>
      <c r="N486" s="3" t="n">
        <v>5</v>
      </c>
      <c r="O486" s="1" t="n"/>
      <c r="P486" s="1" t="n"/>
      <c r="Q486" s="1" t="n"/>
      <c r="R486" s="1" t="n"/>
      <c r="S486" s="1" t="inlineStr">
        <is>
          <t>Mobile (travels with robot)</t>
        </is>
      </c>
      <c r="T486" s="1" t="n"/>
      <c r="U486" s="3" t="n">
        <v>143</v>
      </c>
      <c r="V486" s="1">
        <f>IF($K486="To be purchased",COUNTIF($K$2:$K486,"To be purchased"),"")</f>
        <v/>
      </c>
    </row>
    <row r="487">
      <c r="A487" s="1" t="inlineStr">
        <is>
          <t>Compute &amp; Network</t>
        </is>
      </c>
      <c r="B487" s="2" t="inlineStr">
        <is>
          <t>SSD - External, SanDisk 4 TB - Controller Orin</t>
        </is>
      </c>
      <c r="C487" s="2" t="inlineStr">
        <is>
          <t>9-B Storage</t>
        </is>
      </c>
      <c r="D487" s="1" t="inlineStr">
        <is>
          <t>Badri</t>
        </is>
      </c>
      <c r="E487" s="7" t="inlineStr">
        <is>
          <t>1</t>
        </is>
      </c>
      <c r="F487" s="1" t="inlineStr">
        <is>
          <t>India</t>
        </is>
      </c>
      <c r="G487" s="1" t="n"/>
      <c r="H487" s="1" t="inlineStr">
        <is>
          <t>No</t>
        </is>
      </c>
      <c r="I487" s="1" t="n"/>
      <c r="J487" s="1" t="n"/>
      <c r="K487" s="1" t="inlineStr">
        <is>
          <t>IQC Stage</t>
        </is>
      </c>
      <c r="L487" s="3" t="n">
        <v>9</v>
      </c>
      <c r="M487" s="4" t="b">
        <v>0</v>
      </c>
      <c r="N487" s="3" t="n">
        <v>5</v>
      </c>
      <c r="O487" s="1" t="n"/>
      <c r="P487" s="1" t="n"/>
      <c r="Q487" s="1" t="n"/>
      <c r="R487" s="1" t="n"/>
      <c r="S487" s="1" t="inlineStr">
        <is>
          <t>Mobile (travels with robot)</t>
        </is>
      </c>
      <c r="T487" s="1" t="n"/>
      <c r="U487" s="1" t="n"/>
      <c r="V487" s="1" t="n"/>
    </row>
    <row r="488">
      <c r="A488" s="1" t="inlineStr">
        <is>
          <t>Compute &amp; Network</t>
        </is>
      </c>
      <c r="B488" s="2" t="inlineStr">
        <is>
          <t>SD Card - Full Size, 4 GB Class 10 ( Flashed with Polyscope)</t>
        </is>
      </c>
      <c r="C488" s="2" t="inlineStr">
        <is>
          <t>9-B Storage</t>
        </is>
      </c>
      <c r="D488" s="1" t="inlineStr">
        <is>
          <t>Badri</t>
        </is>
      </c>
      <c r="E488" s="1" t="inlineStr">
        <is>
          <t>1</t>
        </is>
      </c>
      <c r="F488" s="1" t="inlineStr">
        <is>
          <t>India</t>
        </is>
      </c>
      <c r="G488" s="1" t="n"/>
      <c r="H488" s="1" t="inlineStr">
        <is>
          <t>No</t>
        </is>
      </c>
      <c r="I488" s="1" t="n"/>
      <c r="J488" s="1" t="n"/>
      <c r="K488" s="1" t="inlineStr">
        <is>
          <t>PR Raised</t>
        </is>
      </c>
      <c r="L488" s="3" t="n">
        <v>9</v>
      </c>
      <c r="M488" s="4" t="b">
        <v>0</v>
      </c>
      <c r="N488" s="3" t="n">
        <v>5</v>
      </c>
      <c r="O488" s="1" t="n"/>
      <c r="P488" s="1" t="n"/>
      <c r="Q488" s="1" t="inlineStr">
        <is>
          <t>https://amzn.in/d/0gXhSovd</t>
        </is>
      </c>
      <c r="R488" s="1" t="n"/>
      <c r="S488" s="1" t="n"/>
      <c r="T488" s="2" t="inlineStr">
        <is>
          <t>Detail: For UR polyscope re-flash.</t>
        </is>
      </c>
      <c r="U488" s="3" t="n">
        <v>555</v>
      </c>
      <c r="V488" s="1">
        <f>IF($K488="To be purchased",COUNTIF($K$2:$K488,"To be purchased"),"")</f>
        <v/>
      </c>
    </row>
    <row r="489">
      <c r="A489" s="1" t="inlineStr">
        <is>
          <t>Compute &amp; Network</t>
        </is>
      </c>
      <c r="B489" s="2" t="inlineStr">
        <is>
          <t>Network Switch - IES3110-8TF - controller</t>
        </is>
      </c>
      <c r="C489" s="2" t="inlineStr">
        <is>
          <t>9-C Network Gear</t>
        </is>
      </c>
      <c r="D489" s="1" t="inlineStr">
        <is>
          <t>Badri</t>
        </is>
      </c>
      <c r="E489" s="7" t="inlineStr">
        <is>
          <t>1</t>
        </is>
      </c>
      <c r="F489" s="1" t="inlineStr">
        <is>
          <t>India</t>
        </is>
      </c>
      <c r="G489" s="1" t="n"/>
      <c r="H489" s="1" t="inlineStr">
        <is>
          <t>No</t>
        </is>
      </c>
      <c r="I489" s="1" t="n"/>
      <c r="J489" s="1" t="n"/>
      <c r="K489" s="1" t="inlineStr">
        <is>
          <t>PR Raised</t>
        </is>
      </c>
      <c r="L489" s="3" t="n">
        <v>9</v>
      </c>
      <c r="M489" s="4" t="b">
        <v>0</v>
      </c>
      <c r="N489" s="3" t="n">
        <v>5</v>
      </c>
      <c r="O489" s="1" t="n"/>
      <c r="P489" s="1" t="n"/>
      <c r="Q489" s="1" t="n"/>
      <c r="R489" s="1" t="n"/>
      <c r="S489" s="1" t="inlineStr">
        <is>
          <t>Mobile (travels with robot)</t>
        </is>
      </c>
      <c r="T489" s="1" t="n"/>
      <c r="U489" s="3" t="n">
        <v>77</v>
      </c>
      <c r="V489" s="1">
        <f>IF($K489="To be purchased",COUNTIF($K$2:$K489,"To be purchased"),"")</f>
        <v/>
      </c>
    </row>
    <row r="490">
      <c r="A490" s="1" t="inlineStr">
        <is>
          <t>Compute &amp; Network</t>
        </is>
      </c>
      <c r="B490" s="2" t="inlineStr">
        <is>
          <t>Network Switch - TSN3220 - planner</t>
        </is>
      </c>
      <c r="C490" s="2" t="inlineStr">
        <is>
          <t>9-C Network Gear</t>
        </is>
      </c>
      <c r="D490" s="1" t="inlineStr">
        <is>
          <t>Badri</t>
        </is>
      </c>
      <c r="E490" s="1" t="inlineStr">
        <is>
          <t>1</t>
        </is>
      </c>
      <c r="F490" s="1" t="inlineStr">
        <is>
          <t>India</t>
        </is>
      </c>
      <c r="G490" s="1" t="n"/>
      <c r="H490" s="1" t="inlineStr">
        <is>
          <t>Yes</t>
        </is>
      </c>
      <c r="I490" s="5" t="n"/>
      <c r="J490" s="6">
        <f>IFERROR(HYPERLINK("https://docs.google.com/spreadsheets/d/10M8oEMfSST-xuPwcSARfQDNcQJ0xrCp8O9iHBGPAr34/edit?gid=1956219685&amp;range=A"&amp;MATCH("PR-2026-1692",'PR Lookup'!A:A,0),"PR-2026-1692"),"PR-2026-1692")</f>
        <v/>
      </c>
      <c r="K490" s="1" t="inlineStr">
        <is>
          <t>PR Raised</t>
        </is>
      </c>
      <c r="L490" s="3" t="n">
        <v>9</v>
      </c>
      <c r="M490" s="4" t="b">
        <v>0</v>
      </c>
      <c r="N490" s="3" t="n">
        <v>5</v>
      </c>
      <c r="O490" s="1" t="n"/>
      <c r="P490" s="1" t="n"/>
      <c r="Q490" s="1" t="n"/>
      <c r="R490" s="1" t="n"/>
      <c r="S490" s="1" t="inlineStr">
        <is>
          <t>Mobile (travels with robot)</t>
        </is>
      </c>
      <c r="T490" s="1" t="n"/>
      <c r="U490" s="3" t="n">
        <v>93</v>
      </c>
      <c r="V490" s="1">
        <f>IF($K490="To be purchased",COUNTIF($K$2:$K490,"To be purchased"),"")</f>
        <v/>
      </c>
    </row>
    <row r="491">
      <c r="A491" s="1" t="inlineStr">
        <is>
          <t>Compute &amp; Network</t>
        </is>
      </c>
      <c r="B491" s="2" t="inlineStr">
        <is>
          <t>Router - Teltonika RUTM50</t>
        </is>
      </c>
      <c r="C491" s="2" t="inlineStr">
        <is>
          <t>9-C Network Gear</t>
        </is>
      </c>
      <c r="D491" s="1" t="inlineStr">
        <is>
          <t>Badri</t>
        </is>
      </c>
      <c r="E491" s="1" t="inlineStr">
        <is>
          <t>1</t>
        </is>
      </c>
      <c r="F491" s="1" t="inlineStr">
        <is>
          <t>India</t>
        </is>
      </c>
      <c r="G491" s="1" t="n"/>
      <c r="H491" s="1" t="inlineStr">
        <is>
          <t>Yes</t>
        </is>
      </c>
      <c r="I491" s="5" t="n"/>
      <c r="J491" s="6">
        <f>IFERROR(HYPERLINK("https://docs.google.com/spreadsheets/d/10M8oEMfSST-xuPwcSARfQDNcQJ0xrCp8O9iHBGPAr34/edit?gid=1956219685&amp;range=A"&amp;MATCH("PR-2026-1693",'PR Lookup'!A:A,0),"PR-2026-1693"),"PR-2026-1693")</f>
        <v/>
      </c>
      <c r="K491" s="1" t="inlineStr">
        <is>
          <t>PR Raised</t>
        </is>
      </c>
      <c r="L491" s="3" t="n">
        <v>9</v>
      </c>
      <c r="M491" s="4" t="b">
        <v>0</v>
      </c>
      <c r="N491" s="3" t="n">
        <v>5</v>
      </c>
      <c r="O491" s="1" t="n"/>
      <c r="P491" s="1" t="n"/>
      <c r="Q491" s="1" t="n"/>
      <c r="R491" s="1" t="n"/>
      <c r="S491" s="1" t="inlineStr">
        <is>
          <t>Mobile (travels with robot)</t>
        </is>
      </c>
      <c r="T491" s="1" t="n"/>
      <c r="U491" s="3" t="n">
        <v>94</v>
      </c>
      <c r="V491" s="1">
        <f>IF($K491="To be purchased",COUNTIF($K$2:$K491,"To be purchased"),"")</f>
        <v/>
      </c>
    </row>
    <row r="492">
      <c r="A492" s="1" t="inlineStr">
        <is>
          <t>Compute &amp; Network</t>
        </is>
      </c>
      <c r="B492" s="2" t="inlineStr">
        <is>
          <t>Converter - CAN to RS232/485/422</t>
        </is>
      </c>
      <c r="C492" s="2" t="inlineStr">
        <is>
          <t>9-D Comms Converters</t>
        </is>
      </c>
      <c r="D492" s="1" t="inlineStr">
        <is>
          <t>Badri</t>
        </is>
      </c>
      <c r="E492" s="1" t="inlineStr">
        <is>
          <t>1</t>
        </is>
      </c>
      <c r="F492" s="1" t="inlineStr">
        <is>
          <t>India</t>
        </is>
      </c>
      <c r="G492" s="1" t="n"/>
      <c r="H492" s="1" t="inlineStr">
        <is>
          <t>Yes</t>
        </is>
      </c>
      <c r="I492" s="5" t="n"/>
      <c r="J492" s="6">
        <f>IFERROR(HYPERLINK("https://docs.google.com/spreadsheets/d/10M8oEMfSST-xuPwcSARfQDNcQJ0xrCp8O9iHBGPAr34/edit?gid=1956219685&amp;range=A"&amp;MATCH("PR-2026-1694",'PR Lookup'!A:A,0),"PR-2026-1694"),"PR-2026-1694")</f>
        <v/>
      </c>
      <c r="K492" s="1" t="inlineStr">
        <is>
          <t>PR Raised</t>
        </is>
      </c>
      <c r="L492" s="3" t="n">
        <v>9</v>
      </c>
      <c r="M492" s="4" t="b">
        <v>0</v>
      </c>
      <c r="N492" s="3" t="n">
        <v>5</v>
      </c>
      <c r="O492" s="1" t="n"/>
      <c r="P492" s="1" t="n"/>
      <c r="Q492" s="1" t="n"/>
      <c r="R492" s="1" t="n"/>
      <c r="S492" s="1" t="inlineStr">
        <is>
          <t>Mobile (travels with robot)</t>
        </is>
      </c>
      <c r="T492" s="1" t="n"/>
      <c r="U492" s="3" t="n">
        <v>73</v>
      </c>
      <c r="V492" s="1">
        <f>IF($K492="To be purchased",COUNTIF($K$2:$K492,"To be purchased"),"")</f>
        <v/>
      </c>
    </row>
    <row r="493">
      <c r="A493" s="1" t="inlineStr">
        <is>
          <t>Compute &amp; Network</t>
        </is>
      </c>
      <c r="B493" s="2" t="inlineStr">
        <is>
          <t>Deserializer Board - STURDeCAM25 CUOAGX Devkit</t>
        </is>
      </c>
      <c r="C493" s="2" t="inlineStr">
        <is>
          <t>9-D Comms Converters</t>
        </is>
      </c>
      <c r="D493" s="1" t="inlineStr">
        <is>
          <t>Badri</t>
        </is>
      </c>
      <c r="E493" s="1" t="inlineStr">
        <is>
          <t>1</t>
        </is>
      </c>
      <c r="F493" s="1" t="inlineStr">
        <is>
          <t>India</t>
        </is>
      </c>
      <c r="G493" s="1" t="n"/>
      <c r="H493" s="1" t="inlineStr">
        <is>
          <t>Yes</t>
        </is>
      </c>
      <c r="I493" s="5" t="n"/>
      <c r="J493" s="6">
        <f>IFERROR(HYPERLINK("https://docs.google.com/spreadsheets/d/10M8oEMfSST-xuPwcSARfQDNcQJ0xrCp8O9iHBGPAr34/edit?gid=1956219685&amp;range=A"&amp;MATCH("PR-2026-1695",'PR Lookup'!A:A,0),"PR-2026-1695"),"PR-2026-1695")</f>
        <v/>
      </c>
      <c r="K493" s="1" t="inlineStr">
        <is>
          <t>PR Raised</t>
        </is>
      </c>
      <c r="L493" s="3" t="n">
        <v>9</v>
      </c>
      <c r="M493" s="4" t="b">
        <v>0</v>
      </c>
      <c r="N493" s="3" t="n">
        <v>5</v>
      </c>
      <c r="O493" s="1" t="n"/>
      <c r="P493" s="1" t="n"/>
      <c r="Q493" s="1" t="n"/>
      <c r="R493" s="1" t="n"/>
      <c r="S493" s="1" t="inlineStr">
        <is>
          <t>Mobile (travels with robot)</t>
        </is>
      </c>
      <c r="T493" s="1" t="n"/>
      <c r="U493" s="3" t="n">
        <v>85</v>
      </c>
      <c r="V493" s="1">
        <f>IF($K493="To be purchased",COUNTIF($K$2:$K493,"To be purchased"),"")</f>
        <v/>
      </c>
    </row>
    <row r="494">
      <c r="A494" s="1" t="inlineStr">
        <is>
          <t>Compute &amp; Network</t>
        </is>
      </c>
      <c r="B494" s="2" t="inlineStr">
        <is>
          <t>Tablet - Samsung Galaxy Tab S10 FE - HHM</t>
        </is>
      </c>
      <c r="C494" s="2" t="inlineStr">
        <is>
          <t>9-E HMI &amp; Tablets</t>
        </is>
      </c>
      <c r="D494" s="1" t="inlineStr">
        <is>
          <t>Uttez</t>
        </is>
      </c>
      <c r="E494" s="1" t="inlineStr">
        <is>
          <t>1</t>
        </is>
      </c>
      <c r="F494" s="1" t="inlineStr">
        <is>
          <t>India</t>
        </is>
      </c>
      <c r="G494" s="1" t="n"/>
      <c r="H494" s="1" t="inlineStr">
        <is>
          <t>No</t>
        </is>
      </c>
      <c r="I494" s="1" t="n"/>
      <c r="J494" s="1" t="n"/>
      <c r="K494" s="1" t="inlineStr">
        <is>
          <t>To be purchased</t>
        </is>
      </c>
      <c r="L494" s="3" t="n">
        <v>9</v>
      </c>
      <c r="M494" s="4" t="b">
        <v>0</v>
      </c>
      <c r="N494" s="3" t="n">
        <v>5</v>
      </c>
      <c r="O494" s="1" t="n"/>
      <c r="P494" s="1" t="inlineStr">
        <is>
          <t>Part of Luggage</t>
        </is>
      </c>
      <c r="Q494" s="1" t="n"/>
      <c r="R494" s="1" t="n"/>
      <c r="S494" s="1" t="inlineStr">
        <is>
          <t>Mobile (travels with robot)</t>
        </is>
      </c>
      <c r="T494" s="1" t="n"/>
      <c r="U494" s="3" t="n">
        <v>152</v>
      </c>
      <c r="V494" s="3">
        <f>IF($K494="To be purchased",COUNTIF($K$2:$K494,"To be purchased"),"")</f>
        <v/>
      </c>
    </row>
    <row r="495">
      <c r="A495" s="1" t="inlineStr">
        <is>
          <t>Mechanical parts</t>
        </is>
      </c>
      <c r="B495" s="2" t="inlineStr">
        <is>
          <t>HMI - Sander Tool (3D printed housing)</t>
        </is>
      </c>
      <c r="C495" s="2" t="inlineStr">
        <is>
          <t>9-E HMI &amp; Tablets</t>
        </is>
      </c>
      <c r="D495" s="1" t="inlineStr">
        <is>
          <t>SANKALP</t>
        </is>
      </c>
      <c r="E495" s="1" t="inlineStr">
        <is>
          <t>1</t>
        </is>
      </c>
      <c r="F495" s="1" t="inlineStr">
        <is>
          <t>India</t>
        </is>
      </c>
      <c r="G495" s="1" t="n"/>
      <c r="H495" s="1" t="inlineStr">
        <is>
          <t>No</t>
        </is>
      </c>
      <c r="I495" s="1" t="n"/>
      <c r="J495" s="1" t="n"/>
      <c r="K495" s="1" t="inlineStr">
        <is>
          <t>To be Printed</t>
        </is>
      </c>
      <c r="L495" s="3" t="n">
        <v>9</v>
      </c>
      <c r="M495" s="4" t="b">
        <v>0</v>
      </c>
      <c r="N495" s="3" t="n">
        <v>5</v>
      </c>
      <c r="O495" s="1" t="n"/>
      <c r="P495" s="1" t="n"/>
      <c r="Q495" s="1" t="inlineStr">
        <is>
          <t>SANDER TOOL HMI</t>
        </is>
      </c>
      <c r="R495" s="1" t="n"/>
      <c r="S495" s="1" t="n"/>
      <c r="T495" s="1" t="n"/>
      <c r="U495" s="3" t="n">
        <v>430</v>
      </c>
      <c r="V495" s="1">
        <f>IF($K495="To be purchased",COUNTIF($K$2:$K495,"To be purchased"),"")</f>
        <v/>
      </c>
    </row>
    <row r="496">
      <c r="A496" s="1" t="inlineStr">
        <is>
          <t>Compute &amp; Network</t>
        </is>
      </c>
      <c r="B496" s="2" t="inlineStr">
        <is>
          <t>Peripheral Set - Mouse + Keyboard</t>
        </is>
      </c>
      <c r="C496" s="2" t="inlineStr">
        <is>
          <t>9-F Peripherals</t>
        </is>
      </c>
      <c r="D496" s="1" t="inlineStr">
        <is>
          <t>Badri</t>
        </is>
      </c>
      <c r="E496" s="1" t="inlineStr">
        <is>
          <t>1</t>
        </is>
      </c>
      <c r="F496" s="1" t="inlineStr">
        <is>
          <t>India</t>
        </is>
      </c>
      <c r="G496" s="1" t="n"/>
      <c r="H496" s="1" t="inlineStr">
        <is>
          <t>No</t>
        </is>
      </c>
      <c r="I496" s="1" t="n"/>
      <c r="J496" s="1" t="n"/>
      <c r="K496" s="1" t="inlineStr">
        <is>
          <t>PR Raised</t>
        </is>
      </c>
      <c r="L496" s="3" t="n">
        <v>9</v>
      </c>
      <c r="M496" s="4" t="b">
        <v>0</v>
      </c>
      <c r="N496" s="3" t="n">
        <v>5</v>
      </c>
      <c r="O496" s="1" t="n"/>
      <c r="P496" s="1" t="n"/>
      <c r="Q496" s="1" t="inlineStr">
        <is>
          <t>https://www.amazon.in/Logitech-MK240-NANO-Mouse-Keyboard/dp/B01N4EV2TL/ref=sr_1_1_in_f3_0o_at_sspa?crid=3B9WIT7OEJDJS&amp;dib=eyJ2IjoiMSJ9.X96vGAY10XrKJWc2giRJlyuV3928YLl8W2l02TtSry2nfJJpuPsHnDna9a9jmIUHuC9WDQ2LP_t_2LPzrhEiCzykkeX364Hzd-qiRf-PPJqFjrJSBoelffkbrfMDKl8lwRwYR6fNhCs_P8AEikpvzg4qnTLmSKRpIKBVYvKUyYGVCm1lnLpTvaFNIrSbUij1_aJRGe8MjSh0ROywXT5nHFMf23HXMgEhEswduRLXcKs.bQDUS7ZLeKenqM4CjouISSYIqwgY8mUmh-1Cdu0AwUQ&amp;dib_tag=se&amp;keywords=logitech%2Bwired%2Bkeyboard%2Band%2Bmouse&amp;nsdOptOutParam=true&amp;qid=1786959328&amp;sprefix=logitech%2Bwired%2Bkeyboard%2Band%2Bmo%2Caps%2C368&amp;sr=8-1-spons&amp;aref=8TpRPa7BQm&amp;sp_csd=d2lkZ2V0TmFtZT1zcF9hdGY&amp;th=1</t>
        </is>
      </c>
      <c r="R496" s="1" t="n"/>
      <c r="S496" s="1" t="n"/>
      <c r="T496" s="2" t="inlineStr">
        <is>
          <t>Detail: For UR / Planner Orin.</t>
        </is>
      </c>
      <c r="U496" s="3" t="n">
        <v>550</v>
      </c>
      <c r="V496" s="1">
        <f>IF($K496="To be purchased",COUNTIF($K$2:$K496,"To be purchased"),"")</f>
        <v/>
      </c>
    </row>
    <row r="497">
      <c r="A497" s="1" t="inlineStr">
        <is>
          <t>Compute &amp; Network</t>
        </is>
      </c>
      <c r="B497" s="2" t="inlineStr">
        <is>
          <t>Adapter - USB to HDMI</t>
        </is>
      </c>
      <c r="C497" s="2" t="inlineStr">
        <is>
          <t>9-F Peripherals</t>
        </is>
      </c>
      <c r="D497" s="1" t="inlineStr">
        <is>
          <t>Badri</t>
        </is>
      </c>
      <c r="E497" s="1" t="inlineStr">
        <is>
          <t>1</t>
        </is>
      </c>
      <c r="F497" s="1" t="inlineStr">
        <is>
          <t>India</t>
        </is>
      </c>
      <c r="G497" s="1" t="n"/>
      <c r="H497" s="1" t="inlineStr">
        <is>
          <t>No</t>
        </is>
      </c>
      <c r="I497" s="1" t="n"/>
      <c r="J497" s="1" t="n"/>
      <c r="K497" s="1" t="inlineStr">
        <is>
          <t>PR Raised</t>
        </is>
      </c>
      <c r="L497" s="3" t="n">
        <v>9</v>
      </c>
      <c r="M497" s="4" t="b">
        <v>0</v>
      </c>
      <c r="N497" s="3" t="n">
        <v>5</v>
      </c>
      <c r="O497" s="1" t="n"/>
      <c r="P497" s="1" t="n"/>
      <c r="Q497" s="1" t="inlineStr">
        <is>
          <t>https://amzn.in/d/00IZPxge</t>
        </is>
      </c>
      <c r="R497" s="1" t="n"/>
      <c r="S497" s="1" t="n"/>
      <c r="T497" s="2" t="inlineStr">
        <is>
          <t>Detail: For laptops.</t>
        </is>
      </c>
      <c r="U497" s="3" t="n">
        <v>561</v>
      </c>
      <c r="V497" s="1">
        <f>IF($K497="To be purchased",COUNTIF($K$2:$K497,"To be purchased"),"")</f>
        <v/>
      </c>
    </row>
    <row r="498">
      <c r="A498" s="1" t="inlineStr">
        <is>
          <t>MoMa</t>
        </is>
      </c>
      <c r="B498" s="2" t="inlineStr">
        <is>
          <t>MoMa V2 Robot (mobile base)</t>
        </is>
      </c>
      <c r="C498" s="1" t="n"/>
      <c r="D498" s="1" t="inlineStr">
        <is>
          <t>Kaustubh</t>
        </is>
      </c>
      <c r="E498" s="1" t="inlineStr">
        <is>
          <t>1</t>
        </is>
      </c>
      <c r="F498" s="1" t="inlineStr">
        <is>
          <t>India</t>
        </is>
      </c>
      <c r="G498" s="1" t="n"/>
      <c r="H498" s="1" t="inlineStr">
        <is>
          <t>No</t>
        </is>
      </c>
      <c r="I498" s="1" t="n"/>
      <c r="J498" s="1" t="n"/>
      <c r="K498" s="1" t="inlineStr">
        <is>
          <t>IQC Stage</t>
        </is>
      </c>
      <c r="L498" s="3" t="n">
        <v>1</v>
      </c>
      <c r="M498" s="4" t="b">
        <v>0</v>
      </c>
      <c r="N498" s="3" t="n">
        <v>1</v>
      </c>
      <c r="O498" s="1" t="n"/>
      <c r="P498" s="1" t="n"/>
      <c r="Q498" s="1" t="n"/>
      <c r="R498" s="1" t="n"/>
      <c r="S498" s="1" t="inlineStr">
        <is>
          <t>Mobile (travels with robot)</t>
        </is>
      </c>
      <c r="T498" s="2" t="inlineStr">
        <is>
          <t>assigned to subsystem box as requested.</t>
        </is>
      </c>
      <c r="U498" s="3" t="n">
        <v>2</v>
      </c>
      <c r="V498" s="1">
        <f>IF($K498="To be purchased",COUNTIF($K$2:$K498,"To be purchased"),"")</f>
        <v/>
      </c>
    </row>
    <row r="499">
      <c r="A499" s="1" t="inlineStr">
        <is>
          <t>UR Arm</t>
        </is>
      </c>
      <c r="B499" s="2" t="inlineStr">
        <is>
          <t>Robot Arm - Universal Robots UR10e</t>
        </is>
      </c>
      <c r="C499" s="1" t="n"/>
      <c r="D499" s="1" t="inlineStr">
        <is>
          <t>Kaustubh</t>
        </is>
      </c>
      <c r="E499" s="1" t="inlineStr">
        <is>
          <t>1</t>
        </is>
      </c>
      <c r="F499" s="1" t="inlineStr">
        <is>
          <t>India</t>
        </is>
      </c>
      <c r="G499" s="1" t="n"/>
      <c r="H499" s="1" t="inlineStr">
        <is>
          <t>No</t>
        </is>
      </c>
      <c r="I499" s="1" t="n"/>
      <c r="J499" s="1" t="n"/>
      <c r="K499" s="1" t="inlineStr">
        <is>
          <t>IQC Stage</t>
        </is>
      </c>
      <c r="L499" s="3" t="n">
        <v>3</v>
      </c>
      <c r="M499" s="4" t="b">
        <v>0</v>
      </c>
      <c r="N499" s="3" t="n">
        <v>1</v>
      </c>
      <c r="O499" s="1" t="n"/>
      <c r="P499" s="1" t="n"/>
      <c r="Q499" s="1" t="n"/>
      <c r="R499" s="1" t="n"/>
      <c r="S499" s="1" t="inlineStr">
        <is>
          <t>Mobile (travels with robot)</t>
        </is>
      </c>
      <c r="T499" s="2" t="inlineStr">
        <is>
          <t>assigned to subsystem box as requested.</t>
        </is>
      </c>
      <c r="U499" s="3" t="n">
        <v>21</v>
      </c>
      <c r="V499" s="1">
        <f>IF($K499="To be purchased",COUNTIF($K$2:$K499,"To be purchased"),"")</f>
        <v/>
      </c>
    </row>
    <row r="500">
      <c r="A500" s="1" t="inlineStr">
        <is>
          <t>Tool Sprayer System</t>
        </is>
      </c>
      <c r="B500" s="2" t="inlineStr">
        <is>
          <t>Sprayer Tool System - V2 (SPR TSM)</t>
        </is>
      </c>
      <c r="C500" s="1" t="n"/>
      <c r="D500" s="1" t="inlineStr">
        <is>
          <t>Anand</t>
        </is>
      </c>
      <c r="E500" s="1" t="inlineStr">
        <is>
          <t>1</t>
        </is>
      </c>
      <c r="F500" s="1" t="inlineStr">
        <is>
          <t>India</t>
        </is>
      </c>
      <c r="G500" s="1" t="n"/>
      <c r="H500" s="1" t="inlineStr">
        <is>
          <t>No</t>
        </is>
      </c>
      <c r="I500" s="1" t="n"/>
      <c r="J500" s="1" t="n"/>
      <c r="K500" s="1" t="inlineStr">
        <is>
          <t>In stock</t>
        </is>
      </c>
      <c r="L500" s="3" t="n">
        <v>6</v>
      </c>
      <c r="M500" s="4" t="b">
        <v>0</v>
      </c>
      <c r="N500" s="3" t="n">
        <v>3</v>
      </c>
      <c r="O500" s="1" t="n"/>
      <c r="P500" s="1" t="n"/>
      <c r="Q500" s="1" t="n"/>
      <c r="R500" s="1" t="n"/>
      <c r="S500" s="1" t="n"/>
      <c r="T500" s="2" t="inlineStr">
        <is>
          <t>assigned to subsystem box as requested.</t>
        </is>
      </c>
      <c r="U500" s="3" t="n">
        <v>33</v>
      </c>
      <c r="V500" s="1">
        <f>IF($K500="To be purchased",COUNTIF($K$2:$K500,"To be purchased"),"")</f>
        <v/>
      </c>
    </row>
    <row r="501">
      <c r="A501" s="1" t="inlineStr">
        <is>
          <t>Tool Sprayer Station</t>
        </is>
      </c>
      <c r="B501" s="2" t="inlineStr">
        <is>
          <t>Sprayer Tool Station - V2 (SPR TST)</t>
        </is>
      </c>
      <c r="C501" s="1" t="n"/>
      <c r="D501" s="1" t="inlineStr">
        <is>
          <t>Anand</t>
        </is>
      </c>
      <c r="E501" s="1" t="inlineStr">
        <is>
          <t>1</t>
        </is>
      </c>
      <c r="F501" s="1" t="inlineStr">
        <is>
          <t>India</t>
        </is>
      </c>
      <c r="G501" s="1" t="n"/>
      <c r="H501" s="1" t="inlineStr">
        <is>
          <t>No</t>
        </is>
      </c>
      <c r="I501" s="1" t="n"/>
      <c r="J501" s="1" t="n"/>
      <c r="K501" s="1" t="inlineStr">
        <is>
          <t>In stock</t>
        </is>
      </c>
      <c r="L501" s="3" t="n">
        <v>7</v>
      </c>
      <c r="M501" s="4" t="b">
        <v>0</v>
      </c>
      <c r="N501" s="3" t="n">
        <v>3</v>
      </c>
      <c r="O501" s="1" t="n"/>
      <c r="P501" s="1" t="n"/>
      <c r="Q501" s="1" t="n"/>
      <c r="R501" s="1" t="n"/>
      <c r="S501" s="1" t="n"/>
      <c r="T501" s="2" t="inlineStr">
        <is>
          <t>assigned to subsystem box as requested.</t>
        </is>
      </c>
      <c r="U501" s="3" t="n">
        <v>34</v>
      </c>
      <c r="V501" s="1">
        <f>IF($K501="To be purchased",COUNTIF($K$2:$K501,"To be purchased"),"")</f>
        <v/>
      </c>
    </row>
    <row r="502">
      <c r="A502" s="8" t="inlineStr">
        <is>
          <t>Accessories (OST &amp; HHM)</t>
        </is>
      </c>
      <c r="B502" s="9" t="inlineStr">
        <is>
          <t>OST - Operator Station Trolley (complete)</t>
        </is>
      </c>
      <c r="C502" s="8" t="n"/>
      <c r="D502" s="8" t="inlineStr">
        <is>
          <t>Kaustubh</t>
        </is>
      </c>
      <c r="E502" s="8" t="inlineStr">
        <is>
          <t>1</t>
        </is>
      </c>
      <c r="F502" s="8" t="inlineStr">
        <is>
          <t>India</t>
        </is>
      </c>
      <c r="G502" s="8" t="n"/>
      <c r="H502" s="8" t="inlineStr">
        <is>
          <t>No</t>
        </is>
      </c>
      <c r="I502" s="8" t="n"/>
      <c r="J502" s="8" t="n"/>
      <c r="K502" s="8" t="inlineStr">
        <is>
          <t>IQC Stage</t>
        </is>
      </c>
      <c r="L502" s="10" t="n">
        <v>8</v>
      </c>
      <c r="M502" s="11" t="b">
        <v>0</v>
      </c>
      <c r="N502" s="10" t="n">
        <v>4</v>
      </c>
      <c r="O502" s="8" t="n"/>
      <c r="P502" s="8" t="n"/>
      <c r="Q502" s="8" t="n"/>
      <c r="R502" s="8" t="n"/>
      <c r="S502" s="8" t="inlineStr">
        <is>
          <t>Mobile (travels with robot)</t>
        </is>
      </c>
      <c r="T502" s="9" t="inlineStr">
        <is>
          <t>Description taken from part number (no description in source). assigned to Accessories subsystem box.</t>
        </is>
      </c>
      <c r="U502" s="10" t="n">
        <v>36</v>
      </c>
      <c r="V502" s="8">
        <f>IF($K502="To be purchased",COUNTIF($K$2:$K502,"To be purchased"),"")</f>
        <v/>
      </c>
    </row>
    <row r="503">
      <c r="A503" s="1" t="inlineStr">
        <is>
          <t>Accessories (OST &amp; HHM)</t>
        </is>
      </c>
      <c r="B503" s="2" t="inlineStr">
        <is>
          <t>HHM - Hand-Held Module (complete)</t>
        </is>
      </c>
      <c r="C503" s="1" t="n"/>
      <c r="D503" s="1" t="inlineStr">
        <is>
          <t>Kaustubh</t>
        </is>
      </c>
      <c r="E503" s="1" t="inlineStr">
        <is>
          <t>1</t>
        </is>
      </c>
      <c r="F503" s="1" t="inlineStr">
        <is>
          <t>India</t>
        </is>
      </c>
      <c r="G503" s="1" t="n"/>
      <c r="H503" s="1" t="inlineStr">
        <is>
          <t>No</t>
        </is>
      </c>
      <c r="I503" s="1" t="n"/>
      <c r="J503" s="1" t="n"/>
      <c r="K503" s="1" t="inlineStr">
        <is>
          <t>IQC Stage</t>
        </is>
      </c>
      <c r="L503" s="3" t="n">
        <v>8</v>
      </c>
      <c r="M503" s="4" t="b">
        <v>0</v>
      </c>
      <c r="N503" s="3" t="n">
        <v>4</v>
      </c>
      <c r="O503" s="1" t="n"/>
      <c r="P503" s="1" t="n"/>
      <c r="Q503" s="1" t="n"/>
      <c r="R503" s="1" t="n"/>
      <c r="S503" s="1" t="inlineStr">
        <is>
          <t>Mobile (travels with robot)</t>
        </is>
      </c>
      <c r="T503" s="2" t="inlineStr">
        <is>
          <t>Description taken from part number (no description in source). assigned to Accessories subsystem box.</t>
        </is>
      </c>
      <c r="U503" s="3" t="n">
        <v>37</v>
      </c>
      <c r="V503" s="1">
        <f>IF($K503="To be purchased",COUNTIF($K$2:$K503,"To be purchased"),"")</f>
        <v/>
      </c>
    </row>
    <row r="504">
      <c r="A504" s="5" t="inlineStr">
        <is>
          <t>NYC Site &amp; Facility</t>
        </is>
      </c>
      <c r="B504" s="5" t="inlineStr">
        <is>
          <t>Compound Plus 3 - 4.5 gallon bucket</t>
        </is>
      </c>
      <c r="C504" s="5" t="n"/>
      <c r="D504" s="5" t="inlineStr">
        <is>
          <t>Mohit</t>
        </is>
      </c>
      <c r="E504" s="21" t="n">
        <v>20</v>
      </c>
      <c r="F504" s="5" t="inlineStr">
        <is>
          <t>Buy in US</t>
        </is>
      </c>
      <c r="G504" s="5" t="n"/>
      <c r="H504" s="5" t="inlineStr">
        <is>
          <t>No</t>
        </is>
      </c>
      <c r="I504" s="5" t="n"/>
      <c r="J504" s="5" t="n"/>
      <c r="K504" s="5" t="n"/>
      <c r="L504" s="5" t="n"/>
      <c r="M504" s="5" t="n"/>
      <c r="N504" s="5" t="n"/>
      <c r="O504" s="5" t="n"/>
      <c r="P504" s="5" t="n"/>
      <c r="Q504" s="5" t="n"/>
      <c r="R504" s="5" t="n"/>
      <c r="S504" s="5" t="n"/>
      <c r="T504" s="5" t="n"/>
      <c r="U504" s="5" t="n"/>
      <c r="V504" s="5" t="n"/>
    </row>
    <row r="505">
      <c r="A505" s="5" t="inlineStr">
        <is>
          <t>NYC Site &amp; Facility</t>
        </is>
      </c>
      <c r="B505" s="6" t="inlineStr">
        <is>
          <t>No Pock Pro Warner Tools</t>
        </is>
      </c>
      <c r="C505" s="5" t="n"/>
      <c r="D505" s="5" t="inlineStr">
        <is>
          <t>Mohit</t>
        </is>
      </c>
      <c r="E505" s="21" t="n">
        <v>3</v>
      </c>
      <c r="F505" s="5" t="inlineStr">
        <is>
          <t>Buy in US</t>
        </is>
      </c>
      <c r="G505" s="5" t="n"/>
      <c r="H505" s="5" t="inlineStr">
        <is>
          <t>No</t>
        </is>
      </c>
      <c r="I505" s="5" t="n"/>
      <c r="J505" s="5" t="n"/>
      <c r="K505" s="5" t="n"/>
      <c r="L505" s="5" t="n"/>
      <c r="M505" s="5" t="n"/>
      <c r="N505" s="5" t="n"/>
      <c r="O505" s="5" t="n"/>
      <c r="P505" s="5" t="n"/>
      <c r="Q505" s="5" t="n"/>
      <c r="R505" s="5" t="n"/>
      <c r="S505" s="5" t="n"/>
      <c r="T505" s="5" t="n"/>
      <c r="U505" s="5" t="n"/>
      <c r="V505" s="5" t="n"/>
    </row>
    <row r="506">
      <c r="A506" s="5" t="inlineStr">
        <is>
          <t>NYC Site &amp; Facility</t>
        </is>
      </c>
      <c r="B506" s="6" t="inlineStr">
        <is>
          <t>Distilled Water</t>
        </is>
      </c>
      <c r="C506" s="5" t="n"/>
      <c r="D506" s="5" t="inlineStr">
        <is>
          <t>Mohit</t>
        </is>
      </c>
      <c r="E506" s="21" t="n">
        <v>3</v>
      </c>
      <c r="F506" s="5" t="inlineStr">
        <is>
          <t>Buy in US</t>
        </is>
      </c>
      <c r="G506" s="5" t="n"/>
      <c r="H506" s="5" t="inlineStr">
        <is>
          <t>No</t>
        </is>
      </c>
      <c r="I506" s="5" t="n"/>
      <c r="J506" s="5" t="n"/>
      <c r="K506" s="5" t="n"/>
      <c r="L506" s="5" t="n"/>
      <c r="M506" s="5" t="n"/>
      <c r="N506" s="5" t="n"/>
      <c r="O506" s="5" t="n"/>
      <c r="P506" s="5" t="n"/>
      <c r="Q506" s="5" t="n"/>
      <c r="R506" s="5" t="n"/>
      <c r="S506" s="5" t="n"/>
      <c r="T506" s="5" t="n"/>
      <c r="U506" s="5" t="n"/>
      <c r="V506" s="5" t="n"/>
    </row>
    <row r="507">
      <c r="A507" s="5" t="inlineStr">
        <is>
          <t>NYC Site &amp; Facility</t>
        </is>
      </c>
      <c r="B507" s="6" t="inlineStr">
        <is>
          <t>1litre measuring beaker</t>
        </is>
      </c>
      <c r="C507" s="5" t="n"/>
      <c r="D507" s="5" t="inlineStr">
        <is>
          <t>Mohit</t>
        </is>
      </c>
      <c r="E507" s="21" t="n">
        <v>3</v>
      </c>
      <c r="F507" s="5" t="inlineStr">
        <is>
          <t>Buy in US</t>
        </is>
      </c>
      <c r="G507" s="5" t="n"/>
      <c r="H507" s="5" t="inlineStr">
        <is>
          <t>No</t>
        </is>
      </c>
      <c r="I507" s="5" t="n"/>
      <c r="J507" s="5" t="n"/>
      <c r="K507" s="5" t="n"/>
      <c r="L507" s="5" t="n"/>
      <c r="M507" s="5" t="n"/>
      <c r="N507" s="5" t="n"/>
      <c r="O507" s="5" t="n"/>
      <c r="P507" s="5" t="n"/>
      <c r="Q507" s="5" t="n"/>
      <c r="R507" s="5" t="n"/>
      <c r="S507" s="5" t="n"/>
      <c r="T507" s="5" t="n"/>
      <c r="U507" s="5" t="n"/>
      <c r="V507" s="5" t="n"/>
    </row>
  </sheetData>
  <dataValidations count="11">
    <dataValidation sqref="L1:L493 L495:L505" showDropDown="0" showInputMessage="0" showErrorMessage="0" allowBlank="1" type="list">
      <formula1>"1,2,3,4,5,6,7,8,9,10,11,12,13,14,15,16,17,18,19,20"</formula1>
    </dataValidation>
    <dataValidation sqref="S1:S503" showDropDown="0" showInputMessage="0" showErrorMessage="0" allowBlank="1" type="list">
      <formula1>"Mobile (travels with robot),NY Stationary (stays in NY inventory)"</formula1>
    </dataValidation>
    <dataValidation sqref="M504:M507" showDropDown="0" showInputMessage="0" showErrorMessage="0" allowBlank="1" type="list">
      <formula1>"TRUE,FALSE"</formula1>
    </dataValidation>
    <dataValidation sqref="F503:F507" showDropDown="0" showInputMessage="0" showErrorMessage="0" allowBlank="1" type="list">
      <formula1>"India,Buy in US,NYC Inventory"</formula1>
    </dataValidation>
    <dataValidation sqref="K504:K507" showDropDown="0" showInputMessage="0" showErrorMessage="0" allowBlank="1" type="list">
      <formula1>"To be purchased,To be Prepared,To be Printed,PR Raised,Payment Done,IQC Stage,In stock,Hold,Possible Duplicate"</formula1>
    </dataValidation>
    <dataValidation sqref="H1:H503 H504:J507" showDropDown="0" showInputMessage="0" showErrorMessage="1" allowBlank="1" type="list">
      <formula1>"No,Yes"</formula1>
    </dataValidation>
    <dataValidation sqref="L494" showDropDown="0" showInputMessage="0" showErrorMessage="0" allowBlank="1" type="list">
      <formula1>"1,2,3,4,5,6,7,8,9,10,11,12,13,14,15,16,17,18,19"</formula1>
    </dataValidation>
    <dataValidation sqref="K1:K503" showDropDown="0" showInputMessage="0" showErrorMessage="0" allowBlank="1" type="list">
      <formula1>"To be purchased,To be Prepared,To be Printed,PR Raised,Payment Done,IQC Stage,In stock,Hold,Possible Duplicate"</formula1>
    </dataValidation>
    <dataValidation sqref="F1:F502" showDropDown="0" showInputMessage="0" showErrorMessage="0" allowBlank="1" type="list">
      <formula1>"India,Buy in US,NYC Inventory"</formula1>
    </dataValidation>
    <dataValidation sqref="M1:M503" showDropDown="0" showInputMessage="0" showErrorMessage="0" allowBlank="1" type="list">
      <formula1>"TRUE,FALSE"</formula1>
    </dataValidation>
    <dataValidation sqref="L506:L507" showDropDown="0" showInputMessage="0" showErrorMessage="0" allowBlank="1" type="list">
      <formula1>"1,2,3,4,5,6,7,8,9,10,11,12,13,14,15,16,17,18,19"</formula1>
    </dataValidation>
  </dataValidations>
  <hyperlinks>
    <hyperlink xmlns:r="http://schemas.openxmlformats.org/officeDocument/2006/relationships" ref="Q92" location="gid=1956219685&amp;range=C71" r:id="rId1"/>
    <hyperlink xmlns:r="http://schemas.openxmlformats.org/officeDocument/2006/relationships" ref="T92" r:id="rId2"/>
    <hyperlink xmlns:r="http://schemas.openxmlformats.org/officeDocument/2006/relationships" ref="B505" r:id="rId3"/>
    <hyperlink xmlns:r="http://schemas.openxmlformats.org/officeDocument/2006/relationships" ref="B506" r:id="rId4"/>
    <hyperlink xmlns:r="http://schemas.openxmlformats.org/officeDocument/2006/relationships" ref="B507"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2026-08-28T12:27:58Z</dcterms:created>
  <dcterms:modified xsi:type="dcterms:W3CDTF">2026-08-28T12:27:58Z</dcterms:modified>
</cp:coreProperties>
</file>